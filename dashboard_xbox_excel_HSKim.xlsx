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\DIO_Python\database\"/>
    </mc:Choice>
  </mc:AlternateContent>
  <xr:revisionPtr revIDLastSave="0" documentId="13_ncr:1_{B1217A42-889E-4BB6-B04D-5A432CE16704}" xr6:coauthVersionLast="47" xr6:coauthVersionMax="47" xr10:uidLastSave="{00000000-0000-0000-0000-000000000000}"/>
  <bookViews>
    <workbookView xWindow="28680" yWindow="-120" windowWidth="29040" windowHeight="15720" tabRatio="315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3" l="1"/>
  <c r="E27" i="3"/>
</calcChain>
</file>

<file path=xl/sharedStrings.xml><?xml version="1.0" encoding="utf-8"?>
<sst xmlns="http://schemas.openxmlformats.org/spreadsheetml/2006/main" count="2054" uniqueCount="335">
  <si>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</si>
  <si>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</si>
  <si>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</si>
  <si>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</si>
  <si>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</si>
  <si>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</si>
  <si>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</si>
  <si>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</si>
  <si>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</si>
  <si>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</si>
  <si>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</si>
  <si>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</si>
  <si>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</si>
  <si>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</si>
  <si>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</si>
  <si>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</si>
  <si>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</si>
  <si>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</si>
  <si>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</si>
  <si>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</si>
  <si>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</si>
  <si>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</si>
  <si>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</si>
  <si>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</si>
  <si>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</si>
  <si>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</si>
  <si>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</si>
  <si>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</si>
  <si>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</si>
  <si>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</si>
  <si>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</si>
  <si>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</si>
  <si>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</si>
  <si>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</si>
  <si>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</si>
  <si>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</si>
  <si>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</si>
  <si>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</si>
  <si>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</si>
  <si>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</si>
  <si>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</si>
  <si>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</si>
  <si>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</si>
  <si>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</si>
  <si>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</si>
  <si>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</si>
  <si>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</si>
  <si>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</si>
  <si>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</si>
  <si>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</si>
  <si>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</si>
  <si>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</si>
  <si>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</si>
  <si>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</si>
  <si>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</si>
  <si>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</si>
  <si>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</si>
  <si>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</si>
  <si>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</si>
  <si>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</si>
  <si>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</si>
  <si>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</si>
  <si>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</si>
  <si>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</si>
  <si>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</si>
  <si>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</si>
  <si>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</si>
  <si>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</si>
  <si>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</si>
  <si>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</si>
  <si>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</si>
  <si>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</si>
  <si>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</si>
  <si>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</si>
  <si>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</si>
  <si>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</si>
  <si>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</si>
  <si>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</si>
  <si>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</si>
  <si>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</si>
  <si>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</si>
  <si>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</si>
  <si>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</si>
  <si>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</si>
  <si>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</si>
  <si>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</si>
  <si>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</si>
  <si>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</si>
  <si>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</si>
  <si>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</si>
  <si>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</si>
  <si>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</si>
  <si>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</si>
  <si>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</si>
  <si>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</si>
  <si>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</si>
  <si>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</si>
  <si>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</si>
  <si>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</si>
  <si>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</si>
  <si>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</si>
  <si>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</si>
  <si>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</si>
  <si>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</si>
  <si>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</si>
  <si>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</si>
  <si>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</si>
  <si>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</si>
  <si>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</si>
  <si>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</si>
  <si>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</si>
  <si>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</si>
  <si>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</si>
  <si>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</si>
  <si>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</si>
  <si>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</si>
  <si>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</si>
  <si>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</si>
  <si>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</si>
  <si>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</si>
  <si>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</si>
  <si>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</si>
  <si>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</si>
  <si>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</si>
  <si>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</si>
  <si>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</si>
  <si>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</si>
  <si>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</si>
  <si>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</si>
  <si>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</si>
  <si>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</si>
  <si>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</si>
  <si>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</si>
  <si>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</si>
  <si>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</si>
  <si>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</si>
  <si>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</si>
  <si>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</si>
  <si>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</si>
  <si>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</si>
  <si>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</si>
  <si>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</si>
  <si>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</si>
  <si>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</si>
  <si>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</si>
  <si>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</si>
  <si>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</si>
  <si>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</si>
  <si>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</si>
  <si>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</si>
  <si>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</si>
  <si>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</si>
  <si>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</si>
  <si>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</si>
  <si>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</si>
  <si>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</si>
  <si>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</si>
  <si>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</si>
  <si>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</si>
  <si>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</si>
  <si>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</si>
  <si>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</si>
  <si>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</si>
  <si>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</si>
  <si>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</si>
  <si>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</si>
  <si>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</si>
  <si>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</si>
  <si>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</si>
  <si>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</si>
  <si>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</si>
  <si>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</si>
  <si>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</si>
  <si>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</si>
  <si>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</si>
  <si>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</si>
  <si>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</si>
  <si>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</si>
  <si>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</si>
  <si>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</si>
  <si>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</si>
  <si>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</si>
  <si>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</si>
  <si>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</si>
  <si>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</si>
  <si>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</si>
  <si>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</si>
  <si>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</si>
  <si>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</si>
  <si>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</si>
  <si>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</si>
  <si>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</si>
  <si>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</si>
  <si>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</si>
  <si>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</si>
  <si>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</si>
  <si>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</si>
  <si>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</si>
  <si>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</si>
  <si>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</si>
  <si>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</si>
  <si>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</si>
  <si>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</si>
  <si>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</si>
  <si>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</si>
  <si>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</si>
  <si>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</si>
  <si>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</si>
  <si>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</si>
  <si>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</si>
  <si>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</si>
  <si>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</si>
  <si>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</si>
  <si>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</si>
  <si>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</si>
  <si>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</si>
  <si>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</si>
  <si>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</si>
  <si>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</si>
  <si>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</si>
  <si>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</si>
  <si>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</si>
  <si>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</si>
  <si>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</si>
  <si>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</si>
  <si>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</si>
  <si>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</si>
  <si>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</si>
  <si>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</si>
  <si>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</si>
  <si>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</si>
  <si>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</si>
  <si>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</si>
  <si>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</si>
  <si>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</si>
  <si>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</si>
  <si>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</si>
  <si>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</si>
  <si>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</si>
  <si>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</si>
  <si>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</si>
  <si>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</si>
  <si>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</si>
  <si>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</si>
  <si>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</si>
  <si>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</si>
  <si>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</si>
  <si>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</si>
  <si>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</si>
  <si>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</si>
  <si>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</si>
  <si>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</si>
  <si>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</si>
  <si>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</si>
  <si>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</si>
  <si>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</si>
  <si>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</si>
  <si>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</si>
  <si>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</si>
  <si>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</si>
  <si>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</si>
  <si>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</si>
  <si>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</si>
  <si>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</si>
  <si>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</si>
  <si>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</si>
  <si>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</si>
  <si>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</si>
  <si>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</si>
  <si>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</si>
  <si>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</si>
  <si>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</si>
  <si>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</si>
  <si>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</si>
  <si>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</si>
  <si>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</si>
  <si>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</si>
  <si>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</si>
  <si>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</si>
  <si>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</si>
  <si>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</si>
  <si>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</si>
  <si>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</si>
  <si>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</si>
  <si>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</si>
  <si>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</si>
  <si>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</si>
  <si>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</si>
  <si>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</si>
  <si>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</si>
  <si>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</si>
  <si>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</si>
  <si>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</si>
  <si>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</si>
  <si>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</si>
  <si>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</si>
  <si>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</si>
  <si>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</si>
  <si>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</si>
  <si>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</si>
  <si>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</si>
  <si>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</si>
  <si>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</si>
  <si>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</si>
  <si>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</si>
  <si>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</si>
  <si>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</si>
  <si>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</si>
  <si>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</si>
  <si>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</si>
  <si>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</si>
  <si>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</si>
  <si>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</si>
  <si>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</si>
  <si>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</si>
  <si>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</si>
  <si>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</si>
  <si>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</si>
  <si>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</si>
  <si>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</si>
  <si>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</si>
  <si>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>Soma de EA Play Season Pass</t>
  </si>
  <si>
    <t>Soma de Minecraft Season Pass Price</t>
  </si>
  <si>
    <t>XBOX GAME PASS SUBSCRIPTIONS SALES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</si>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</sst>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Segoe UI"/>
      <family val="2"/>
    </font>
    <font>
      <b/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2" applyFont="1"/>
    <xf numFmtId="0" fontId="5" fillId="0" borderId="2" xfId="1" applyFont="1" applyBorder="1"/>
    <xf numFmtId="0" fontId="1" fillId="0" borderId="2" xfId="1" applyBorder="1"/>
    <xf numFmtId="0" fontId="4" fillId="8" borderId="0" xfId="3" applyAlignment="1">
      <alignment horizontal="center"/>
    </xf>
    <xf numFmtId="0" fontId="0" fillId="0" borderId="0" xfId="0" applyNumberFormat="1"/>
    <xf numFmtId="0" fontId="6" fillId="4" borderId="0" xfId="0" applyFont="1" applyFill="1" applyAlignment="1">
      <alignment horizontal="center" vertic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40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01947C51-67F4-4A02-92DC-1508378EED56}">
      <tableStyleElement type="wholeTable" dxfId="39"/>
      <tableStyleElement type="headerRow" dxfId="38"/>
    </tableStyle>
  </tableStyles>
  <colors>
    <mruColors>
      <color rgb="FF22C55E"/>
      <color rgb="FFE8E6E9"/>
      <color rgb="FF5BF6A8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[dashboard_xbox_excel_HSKim.xlsx]C̳álculos!tbl_annual_total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9E-4E2A-9E6B-E1D7180C27D5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69E-4E2A-9E6B-E1D7180C27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6-4F8E-8A9D-D7729446E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1736896"/>
        <c:axId val="1431746496"/>
      </c:barChart>
      <c:catAx>
        <c:axId val="1431736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1746496"/>
        <c:crosses val="autoZero"/>
        <c:auto val="1"/>
        <c:lblAlgn val="ctr"/>
        <c:lblOffset val="100"/>
        <c:noMultiLvlLbl val="0"/>
      </c:catAx>
      <c:valAx>
        <c:axId val="143174649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3173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[dashboard_xbox_excel_HSKim.xlsx]C̳álculos!tbl_eaplay_mes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C̳álculos!$G$20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C̳álculos!$F$21:$F$32</c:f>
              <c:strCache>
                <c:ptCount val="11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C̳álculos!$G$21:$G$32</c:f>
              <c:numCache>
                <c:formatCode>_("R$"* #,##0.00_);_("R$"* \(#,##0.00\);_("R$"* "-"??_);_(@_)</c:formatCode>
                <c:ptCount val="11"/>
                <c:pt idx="0">
                  <c:v>0</c:v>
                </c:pt>
                <c:pt idx="1">
                  <c:v>90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90</c:v>
                </c:pt>
                <c:pt idx="7">
                  <c:v>120</c:v>
                </c:pt>
                <c:pt idx="8">
                  <c:v>90</c:v>
                </c:pt>
                <c:pt idx="9">
                  <c:v>90</c:v>
                </c:pt>
                <c:pt idx="1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4-46FC-8EF6-82B8D48EB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341935"/>
        <c:axId val="218342415"/>
      </c:barChart>
      <c:catAx>
        <c:axId val="21834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8342415"/>
        <c:crosses val="autoZero"/>
        <c:auto val="1"/>
        <c:lblAlgn val="ctr"/>
        <c:lblOffset val="100"/>
        <c:noMultiLvlLbl val="0"/>
      </c:catAx>
      <c:valAx>
        <c:axId val="21834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8341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[dashboard_xbox_excel_HSKim.xlsx]C̳álculos!tbl_minecraft_mes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C̳álculos!$B$45:$B$56</c:f>
              <c:strCache>
                <c:ptCount val="11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C̳álculos!$C$45:$C$56</c:f>
              <c:numCache>
                <c:formatCode>_("R$"* #,##0.00_);_("R$"* \(#,##0.00\);_("R$"* "-"??_);_(@_)</c:formatCode>
                <c:ptCount val="11"/>
                <c:pt idx="0">
                  <c:v>20</c:v>
                </c:pt>
                <c:pt idx="1">
                  <c:v>120</c:v>
                </c:pt>
                <c:pt idx="2">
                  <c:v>120</c:v>
                </c:pt>
                <c:pt idx="3">
                  <c:v>140</c:v>
                </c:pt>
                <c:pt idx="4">
                  <c:v>140</c:v>
                </c:pt>
                <c:pt idx="5">
                  <c:v>120</c:v>
                </c:pt>
                <c:pt idx="6">
                  <c:v>100</c:v>
                </c:pt>
                <c:pt idx="7">
                  <c:v>120</c:v>
                </c:pt>
                <c:pt idx="8">
                  <c:v>100</c:v>
                </c:pt>
                <c:pt idx="9">
                  <c:v>120</c:v>
                </c:pt>
                <c:pt idx="1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A-4C0C-886C-EDD3C88CB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028719"/>
        <c:axId val="463076736"/>
      </c:barChart>
      <c:catAx>
        <c:axId val="7902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3076736"/>
        <c:crosses val="autoZero"/>
        <c:auto val="1"/>
        <c:lblAlgn val="ctr"/>
        <c:lblOffset val="100"/>
        <c:noMultiLvlLbl val="0"/>
      </c:catAx>
      <c:valAx>
        <c:axId val="46307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02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7.png"/><Relationship Id="rId7" Type="http://schemas.openxmlformats.org/officeDocument/2006/relationships/image" Target="../media/image10.sv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9.png"/><Relationship Id="rId5" Type="http://schemas.openxmlformats.org/officeDocument/2006/relationships/image" Target="../media/image11.png"/><Relationship Id="rId4" Type="http://schemas.openxmlformats.org/officeDocument/2006/relationships/chart" Target="../charts/chart2.xm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304800</xdr:colOff>
      <xdr:row>12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69738</xdr:colOff>
      <xdr:row>0</xdr:row>
      <xdr:rowOff>147977</xdr:rowOff>
    </xdr:from>
    <xdr:to>
      <xdr:col>1</xdr:col>
      <xdr:colOff>578305</xdr:colOff>
      <xdr:row>2</xdr:row>
      <xdr:rowOff>28915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287ECB8-F9E9-4E8C-99C9-6476ACF592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64" t="23295" r="74010" b="24292"/>
        <a:stretch>
          <a:fillRect/>
        </a:stretch>
      </xdr:blipFill>
      <xdr:spPr>
        <a:xfrm>
          <a:off x="1923711" y="147977"/>
          <a:ext cx="508567" cy="535782"/>
        </a:xfrm>
        <a:prstGeom prst="rect">
          <a:avLst/>
        </a:prstGeom>
      </xdr:spPr>
    </xdr:pic>
    <xdr:clientData/>
  </xdr:twoCellAnchor>
  <xdr:twoCellAnchor editAs="oneCell">
    <xdr:from>
      <xdr:col>0</xdr:col>
      <xdr:colOff>34703</xdr:colOff>
      <xdr:row>9</xdr:row>
      <xdr:rowOff>77882</xdr:rowOff>
    </xdr:from>
    <xdr:to>
      <xdr:col>0</xdr:col>
      <xdr:colOff>1811450</xdr:colOff>
      <xdr:row>17</xdr:row>
      <xdr:rowOff>17009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5F485939-5F08-4763-9208-7D16C3EBB4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703" y="2135962"/>
              <a:ext cx="1776747" cy="14359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195603</xdr:colOff>
      <xdr:row>27</xdr:row>
      <xdr:rowOff>176894</xdr:rowOff>
    </xdr:from>
    <xdr:to>
      <xdr:col>17</xdr:col>
      <xdr:colOff>459241</xdr:colOff>
      <xdr:row>37</xdr:row>
      <xdr:rowOff>0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B7119F9F-DCED-9516-5B81-278F0CEBED36}"/>
            </a:ext>
          </a:extLst>
        </xdr:cNvPr>
        <xdr:cNvGrpSpPr/>
      </xdr:nvGrpSpPr>
      <xdr:grpSpPr>
        <a:xfrm>
          <a:off x="2049576" y="5602742"/>
          <a:ext cx="9882187" cy="1694088"/>
          <a:chOff x="2483813" y="3972347"/>
          <a:chExt cx="3700868" cy="2245745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8D787D4F-0186-A0EB-57EC-50237824C343}"/>
              </a:ext>
            </a:extLst>
          </xdr:cNvPr>
          <xdr:cNvGrpSpPr/>
        </xdr:nvGrpSpPr>
        <xdr:grpSpPr>
          <a:xfrm>
            <a:off x="2484711" y="3979151"/>
            <a:ext cx="3699970" cy="2238941"/>
            <a:chOff x="2447925" y="3790950"/>
            <a:chExt cx="5305425" cy="3162630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EAC80996-957C-C76C-DB2E-17648FBC9823}"/>
                </a:ext>
              </a:extLst>
            </xdr:cNvPr>
            <xdr:cNvSpPr/>
          </xdr:nvSpPr>
          <xdr:spPr>
            <a:xfrm>
              <a:off x="2447925" y="3790950"/>
              <a:ext cx="5305425" cy="300037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B4945F63-9CFD-4E6A-9314-90032CF92887}"/>
                </a:ext>
              </a:extLst>
            </xdr:cNvPr>
            <xdr:cNvGraphicFramePr>
              <a:graphicFrameLocks/>
            </xdr:cNvGraphicFramePr>
          </xdr:nvGraphicFramePr>
          <xdr:xfrm>
            <a:off x="2570158" y="4210380"/>
            <a:ext cx="4900612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sp macro="" textlink="">
        <xdr:nvSpPr>
          <xdr:cNvPr id="30" name="Retângulo: Cantos Superiores Arredondados 29">
            <a:extLst>
              <a:ext uri="{FF2B5EF4-FFF2-40B4-BE49-F238E27FC236}">
                <a16:creationId xmlns:a16="http://schemas.microsoft.com/office/drawing/2014/main" id="{2EC4C9E2-36E4-4F9B-8144-81027B990BA6}"/>
              </a:ext>
            </a:extLst>
          </xdr:cNvPr>
          <xdr:cNvSpPr/>
        </xdr:nvSpPr>
        <xdr:spPr>
          <a:xfrm>
            <a:off x="2483813" y="3972347"/>
            <a:ext cx="3699070" cy="327599"/>
          </a:xfrm>
          <a:prstGeom prst="round2SameRect">
            <a:avLst>
              <a:gd name="adj1" fmla="val 25862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304821</xdr:colOff>
      <xdr:row>5</xdr:row>
      <xdr:rowOff>49764</xdr:rowOff>
    </xdr:from>
    <xdr:to>
      <xdr:col>9</xdr:col>
      <xdr:colOff>51025</xdr:colOff>
      <xdr:row>26</xdr:row>
      <xdr:rowOff>42522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40551261-A7B5-5D16-936C-6B640033917D}"/>
            </a:ext>
          </a:extLst>
        </xdr:cNvPr>
        <xdr:cNvGrpSpPr/>
      </xdr:nvGrpSpPr>
      <xdr:grpSpPr>
        <a:xfrm>
          <a:off x="2158794" y="1563559"/>
          <a:ext cx="4636271" cy="3717713"/>
          <a:chOff x="2158794" y="1563559"/>
          <a:chExt cx="4636271" cy="3717713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821713E4-6E77-E5DB-C8EB-B48CF352ED03}"/>
              </a:ext>
            </a:extLst>
          </xdr:cNvPr>
          <xdr:cNvGrpSpPr/>
        </xdr:nvGrpSpPr>
        <xdr:grpSpPr>
          <a:xfrm>
            <a:off x="2158794" y="1563559"/>
            <a:ext cx="4636271" cy="1710659"/>
            <a:chOff x="2056742" y="1435994"/>
            <a:chExt cx="5059007" cy="1527582"/>
          </a:xfrm>
        </xdr:grpSpPr>
        <xdr:grpSp>
          <xdr:nvGrpSpPr>
            <xdr:cNvPr id="17" name="Agrupar 16">
              <a:extLst>
                <a:ext uri="{FF2B5EF4-FFF2-40B4-BE49-F238E27FC236}">
                  <a16:creationId xmlns:a16="http://schemas.microsoft.com/office/drawing/2014/main" id="{FB7C801B-9AC1-188D-7F2E-845D91D403CA}"/>
                </a:ext>
              </a:extLst>
            </xdr:cNvPr>
            <xdr:cNvGrpSpPr/>
          </xdr:nvGrpSpPr>
          <xdr:grpSpPr>
            <a:xfrm>
              <a:off x="2060903" y="1435994"/>
              <a:ext cx="5054846" cy="1527582"/>
              <a:chOff x="2352675" y="1891665"/>
              <a:chExt cx="4276221" cy="1574006"/>
            </a:xfrm>
          </xdr:grpSpPr>
          <xdr:grpSp>
            <xdr:nvGrpSpPr>
              <xdr:cNvPr id="16" name="Agrupar 15">
                <a:extLst>
                  <a:ext uri="{FF2B5EF4-FFF2-40B4-BE49-F238E27FC236}">
                    <a16:creationId xmlns:a16="http://schemas.microsoft.com/office/drawing/2014/main" id="{4169D8FC-B554-EBF4-0B0A-433015CA33D2}"/>
                  </a:ext>
                </a:extLst>
              </xdr:cNvPr>
              <xdr:cNvGrpSpPr/>
            </xdr:nvGrpSpPr>
            <xdr:grpSpPr>
              <a:xfrm>
                <a:off x="2352675" y="1891665"/>
                <a:ext cx="4272686" cy="1574006"/>
                <a:chOff x="2352675" y="1891665"/>
                <a:chExt cx="4272686" cy="1574006"/>
              </a:xfrm>
            </xdr:grpSpPr>
            <xdr:sp macro="" textlink="">
              <xdr:nvSpPr>
                <xdr:cNvPr id="14" name="Retângulo: Cantos Superiores Arredondados 13">
                  <a:extLst>
                    <a:ext uri="{FF2B5EF4-FFF2-40B4-BE49-F238E27FC236}">
                      <a16:creationId xmlns:a16="http://schemas.microsoft.com/office/drawing/2014/main" id="{8CCD71F3-8D86-E8C6-1D91-8E901745C64E}"/>
                    </a:ext>
                  </a:extLst>
                </xdr:cNvPr>
                <xdr:cNvSpPr/>
              </xdr:nvSpPr>
              <xdr:spPr>
                <a:xfrm>
                  <a:off x="2352675" y="1891665"/>
                  <a:ext cx="4272686" cy="1400215"/>
                </a:xfrm>
                <a:prstGeom prst="round2Same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C̳álculos!E27">
              <xdr:nvSpPr>
                <xdr:cNvPr id="9" name="Retângulo 8">
                  <a:extLst>
                    <a:ext uri="{FF2B5EF4-FFF2-40B4-BE49-F238E27FC236}">
                      <a16:creationId xmlns:a16="http://schemas.microsoft.com/office/drawing/2014/main" id="{CE6F8994-7ECC-4B1D-B97F-6773800B7E0A}"/>
                    </a:ext>
                  </a:extLst>
                </xdr:cNvPr>
                <xdr:cNvSpPr/>
              </xdr:nvSpPr>
              <xdr:spPr>
                <a:xfrm>
                  <a:off x="3624055" y="2526269"/>
                  <a:ext cx="2629486" cy="65960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fld id="{87A523E4-11DD-47E3-A6A8-9A61F88B0763}" type="TxLink">
                    <a:rPr lang="en-US" sz="3600" b="0" i="0" u="none" strike="noStrike">
                      <a:solidFill>
                        <a:srgbClr val="22C55E"/>
                      </a:solidFill>
                      <a:latin typeface="Aptos Narrow"/>
                    </a:rPr>
                    <a:pPr algn="ctr"/>
                    <a:t> R$ 990,00 </a:t>
                  </a:fld>
                  <a:endParaRPr lang="pt-BR" sz="3600">
                    <a:solidFill>
                      <a:srgbClr val="22C55E"/>
                    </a:solidFill>
                  </a:endParaRPr>
                </a:p>
              </xdr:txBody>
            </xdr:sp>
            <xdr:pic>
              <xdr:nvPicPr>
                <xdr:cNvPr id="12" name="Imagem 11">
                  <a:extLst>
                    <a:ext uri="{FF2B5EF4-FFF2-40B4-BE49-F238E27FC236}">
                      <a16:creationId xmlns:a16="http://schemas.microsoft.com/office/drawing/2014/main" id="{39049F4A-E687-4B81-BEC2-FD5F6C7C7B8D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2460046" y="2246471"/>
                  <a:ext cx="1223693" cy="1219200"/>
                </a:xfrm>
                <a:prstGeom prst="rect">
                  <a:avLst/>
                </a:prstGeom>
              </xdr:spPr>
            </xdr:pic>
          </xdr:grpSp>
          <xdr:sp macro="" textlink="">
            <xdr:nvSpPr>
              <xdr:cNvPr id="13" name="Retângulo: Cantos Superiores Arredondados 12">
                <a:extLst>
                  <a:ext uri="{FF2B5EF4-FFF2-40B4-BE49-F238E27FC236}">
                    <a16:creationId xmlns:a16="http://schemas.microsoft.com/office/drawing/2014/main" id="{9F282D36-DF2C-884E-8241-77A9407BA82A}"/>
                  </a:ext>
                </a:extLst>
              </xdr:cNvPr>
              <xdr:cNvSpPr/>
            </xdr:nvSpPr>
            <xdr:spPr>
              <a:xfrm>
                <a:off x="2353003" y="1894621"/>
                <a:ext cx="4275893" cy="411301"/>
              </a:xfrm>
              <a:prstGeom prst="round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>
                    <a:latin typeface="Segoe UI" panose="020B0502040204020203" pitchFamily="34" charset="0"/>
                    <a:cs typeface="Segoe UI" panose="020B0502040204020203" pitchFamily="34" charset="0"/>
                  </a:rPr>
                  <a:t>TOTAL SUBSCRIPTIONS EA PLAY</a:t>
                </a:r>
                <a:r>
                  <a:rPr lang="pt-BR" sz="1100" baseline="0">
                    <a:latin typeface="Segoe UI" panose="020B0502040204020203" pitchFamily="34" charset="0"/>
                    <a:cs typeface="Segoe UI" panose="020B0502040204020203" pitchFamily="34" charset="0"/>
                  </a:rPr>
                  <a:t> SEASON PASS</a:t>
                </a:r>
                <a:endParaRPr lang="pt-BR" sz="1100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sp macro="" textlink="">
          <xdr:nvSpPr>
            <xdr:cNvPr id="29" name="Retângulo: Cantos Superiores Arredondados 28">
              <a:extLst>
                <a:ext uri="{FF2B5EF4-FFF2-40B4-BE49-F238E27FC236}">
                  <a16:creationId xmlns:a16="http://schemas.microsoft.com/office/drawing/2014/main" id="{AD4F7FA2-104F-47CA-B88D-48CB55CB844D}"/>
                </a:ext>
              </a:extLst>
            </xdr:cNvPr>
            <xdr:cNvSpPr/>
          </xdr:nvSpPr>
          <xdr:spPr>
            <a:xfrm>
              <a:off x="2056742" y="1435994"/>
              <a:ext cx="5054461" cy="408562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EA PLAY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32" name="Gráfico 31">
            <a:extLst>
              <a:ext uri="{FF2B5EF4-FFF2-40B4-BE49-F238E27FC236}">
                <a16:creationId xmlns:a16="http://schemas.microsoft.com/office/drawing/2014/main" id="{26ECDDF4-39B9-4DED-B504-B09E5C53368D}"/>
              </a:ext>
            </a:extLst>
          </xdr:cNvPr>
          <xdr:cNvGraphicFramePr>
            <a:graphicFrameLocks/>
          </xdr:cNvGraphicFramePr>
        </xdr:nvGraphicFramePr>
        <xdr:xfrm>
          <a:off x="2160134" y="3189173"/>
          <a:ext cx="4617924" cy="20920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9</xdr:col>
      <xdr:colOff>510280</xdr:colOff>
      <xdr:row>5</xdr:row>
      <xdr:rowOff>40140</xdr:rowOff>
    </xdr:from>
    <xdr:to>
      <xdr:col>17</xdr:col>
      <xdr:colOff>425233</xdr:colOff>
      <xdr:row>26</xdr:row>
      <xdr:rowOff>51028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7C848339-1020-32D0-CFA1-F8154D3F6F91}"/>
            </a:ext>
          </a:extLst>
        </xdr:cNvPr>
        <xdr:cNvGrpSpPr/>
      </xdr:nvGrpSpPr>
      <xdr:grpSpPr>
        <a:xfrm>
          <a:off x="7254320" y="1553935"/>
          <a:ext cx="4643435" cy="3735843"/>
          <a:chOff x="7254320" y="1553935"/>
          <a:chExt cx="4643435" cy="3735843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D0D6C5DF-7BC0-ADF1-7CFB-7EB0DD46BD69}"/>
              </a:ext>
            </a:extLst>
          </xdr:cNvPr>
          <xdr:cNvGrpSpPr/>
        </xdr:nvGrpSpPr>
        <xdr:grpSpPr>
          <a:xfrm>
            <a:off x="7254320" y="1553935"/>
            <a:ext cx="4643435" cy="1533184"/>
            <a:chOff x="7518287" y="1443379"/>
            <a:chExt cx="4379459" cy="1312068"/>
          </a:xfrm>
        </xdr:grpSpPr>
        <xdr:grpSp>
          <xdr:nvGrpSpPr>
            <xdr:cNvPr id="19" name="Agrupar 18">
              <a:extLst>
                <a:ext uri="{FF2B5EF4-FFF2-40B4-BE49-F238E27FC236}">
                  <a16:creationId xmlns:a16="http://schemas.microsoft.com/office/drawing/2014/main" id="{E97E0FD1-F994-43B1-86EC-A2210D32BD19}"/>
                </a:ext>
              </a:extLst>
            </xdr:cNvPr>
            <xdr:cNvGrpSpPr/>
          </xdr:nvGrpSpPr>
          <xdr:grpSpPr>
            <a:xfrm>
              <a:off x="7518287" y="1443379"/>
              <a:ext cx="4379459" cy="1312068"/>
              <a:chOff x="2352675" y="1891665"/>
              <a:chExt cx="4240517" cy="1666875"/>
            </a:xfrm>
          </xdr:grpSpPr>
          <xdr:grpSp>
            <xdr:nvGrpSpPr>
              <xdr:cNvPr id="20" name="Agrupar 19">
                <a:extLst>
                  <a:ext uri="{FF2B5EF4-FFF2-40B4-BE49-F238E27FC236}">
                    <a16:creationId xmlns:a16="http://schemas.microsoft.com/office/drawing/2014/main" id="{38CFF13B-CE51-E54B-1F8C-A8F682EC16FB}"/>
                  </a:ext>
                </a:extLst>
              </xdr:cNvPr>
              <xdr:cNvGrpSpPr/>
            </xdr:nvGrpSpPr>
            <xdr:grpSpPr>
              <a:xfrm>
                <a:off x="2352675" y="1891665"/>
                <a:ext cx="4240517" cy="1666875"/>
                <a:chOff x="2352675" y="1891665"/>
                <a:chExt cx="4240517" cy="1666875"/>
              </a:xfrm>
            </xdr:grpSpPr>
            <xdr:sp macro="" textlink="">
              <xdr:nvSpPr>
                <xdr:cNvPr id="22" name="Retângulo: Cantos Superiores Arredondados 21">
                  <a:extLst>
                    <a:ext uri="{FF2B5EF4-FFF2-40B4-BE49-F238E27FC236}">
                      <a16:creationId xmlns:a16="http://schemas.microsoft.com/office/drawing/2014/main" id="{5D7B1F43-8AFE-33C1-6621-C5C04018599F}"/>
                    </a:ext>
                  </a:extLst>
                </xdr:cNvPr>
                <xdr:cNvSpPr/>
              </xdr:nvSpPr>
              <xdr:spPr>
                <a:xfrm>
                  <a:off x="2352675" y="1891665"/>
                  <a:ext cx="4240517" cy="1666875"/>
                </a:xfrm>
                <a:prstGeom prst="round2Same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C̳álculos!E39">
              <xdr:nvSpPr>
                <xdr:cNvPr id="23" name="Retângulo 22">
                  <a:extLst>
                    <a:ext uri="{FF2B5EF4-FFF2-40B4-BE49-F238E27FC236}">
                      <a16:creationId xmlns:a16="http://schemas.microsoft.com/office/drawing/2014/main" id="{5EB83E07-1605-C76F-E610-0E8E7B438751}"/>
                    </a:ext>
                  </a:extLst>
                </xdr:cNvPr>
                <xdr:cNvSpPr/>
              </xdr:nvSpPr>
              <xdr:spPr>
                <a:xfrm>
                  <a:off x="3575802" y="2526269"/>
                  <a:ext cx="2629486" cy="65960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fld id="{8A3906AF-5512-4BF6-830B-324B64B60DC6}" type="TxLink">
                    <a:rPr lang="en-US" sz="3600" b="0" i="0" u="none" strike="noStrike">
                      <a:solidFill>
                        <a:srgbClr val="22C55E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pPr algn="ctr"/>
                    <a:t> R$ 1.140,00 </a:t>
                  </a:fld>
                  <a:endParaRPr lang="pt-BR" sz="3600">
                    <a:solidFill>
                      <a:srgbClr val="22C55E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  <xdr:sp macro="" textlink="">
            <xdr:nvSpPr>
              <xdr:cNvPr id="21" name="Retângulo: Cantos Superiores Arredondados 20">
                <a:extLst>
                  <a:ext uri="{FF2B5EF4-FFF2-40B4-BE49-F238E27FC236}">
                    <a16:creationId xmlns:a16="http://schemas.microsoft.com/office/drawing/2014/main" id="{059704FE-20DF-67DE-77E2-EB4441483901}"/>
                  </a:ext>
                </a:extLst>
              </xdr:cNvPr>
              <xdr:cNvSpPr/>
            </xdr:nvSpPr>
            <xdr:spPr>
              <a:xfrm>
                <a:off x="2353004" y="1894622"/>
                <a:ext cx="4239872" cy="400050"/>
              </a:xfrm>
              <a:prstGeom prst="round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 b="1">
                    <a:latin typeface="Segoe UI" panose="020B0502040204020203" pitchFamily="34" charset="0"/>
                    <a:cs typeface="Segoe UI" panose="020B0502040204020203" pitchFamily="34" charset="0"/>
                  </a:rPr>
                  <a:t>TOTAL SUBSCRIPTIONS MINECRAFT</a:t>
                </a:r>
                <a:r>
                  <a:rPr lang="pt-BR" sz="1100" b="1" baseline="0">
                    <a:latin typeface="Segoe UI" panose="020B0502040204020203" pitchFamily="34" charset="0"/>
                    <a:cs typeface="Segoe UI" panose="020B0502040204020203" pitchFamily="34" charset="0"/>
                  </a:rPr>
                  <a:t> SEASON PASS</a:t>
                </a:r>
                <a:endParaRPr lang="pt-BR" sz="1100" b="1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grpSp>
          <xdr:nvGrpSpPr>
            <xdr:cNvPr id="25" name="Agrupar 24">
              <a:extLst>
                <a:ext uri="{FF2B5EF4-FFF2-40B4-BE49-F238E27FC236}">
                  <a16:creationId xmlns:a16="http://schemas.microsoft.com/office/drawing/2014/main" id="{FA95B6F3-B6FC-4B2E-A2E8-27FCD2D4A5DB}"/>
                </a:ext>
              </a:extLst>
            </xdr:cNvPr>
            <xdr:cNvGrpSpPr/>
          </xdr:nvGrpSpPr>
          <xdr:grpSpPr>
            <a:xfrm>
              <a:off x="7768268" y="1944069"/>
              <a:ext cx="892629" cy="504145"/>
              <a:chOff x="3495675" y="5400674"/>
              <a:chExt cx="1549476" cy="752476"/>
            </a:xfrm>
          </xdr:grpSpPr>
          <xdr:pic>
            <xdr:nvPicPr>
              <xdr:cNvPr id="26" name="Imagem 25">
                <a:extLst>
                  <a:ext uri="{FF2B5EF4-FFF2-40B4-BE49-F238E27FC236}">
                    <a16:creationId xmlns:a16="http://schemas.microsoft.com/office/drawing/2014/main" id="{C74FB1BA-1A70-DC9B-693F-C91A4BBAC57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27" name="Gráfico 26">
                <a:extLst>
                  <a:ext uri="{FF2B5EF4-FFF2-40B4-BE49-F238E27FC236}">
                    <a16:creationId xmlns:a16="http://schemas.microsoft.com/office/drawing/2014/main" id="{8220C2F5-2B7E-78C0-E075-5013809D2E2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>
                <a:extLst>
                  <a:ext uri="{96DAC541-7B7A-43D3-8B79-37D633B846F1}">
                    <asvg:svgBlip xmlns:asvg="http://schemas.microsoft.com/office/drawing/2016/SVG/main" r:embed="rId7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  <xdr:graphicFrame macro="">
        <xdr:nvGraphicFramePr>
          <xdr:cNvPr id="33" name="Gráfico 32">
            <a:extLst>
              <a:ext uri="{FF2B5EF4-FFF2-40B4-BE49-F238E27FC236}">
                <a16:creationId xmlns:a16="http://schemas.microsoft.com/office/drawing/2014/main" id="{C0A63E70-A79B-4B71-82B8-ED9091C680D8}"/>
              </a:ext>
            </a:extLst>
          </xdr:cNvPr>
          <xdr:cNvGraphicFramePr>
            <a:graphicFrameLocks/>
          </xdr:cNvGraphicFramePr>
        </xdr:nvGraphicFramePr>
        <xdr:xfrm>
          <a:off x="7262812" y="3206184"/>
          <a:ext cx="4626429" cy="208359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 editAs="absolute">
    <xdr:from>
      <xdr:col>0</xdr:col>
      <xdr:colOff>578291</xdr:colOff>
      <xdr:row>1</xdr:row>
      <xdr:rowOff>68039</xdr:rowOff>
    </xdr:from>
    <xdr:to>
      <xdr:col>0</xdr:col>
      <xdr:colOff>1273616</xdr:colOff>
      <xdr:row>2</xdr:row>
      <xdr:rowOff>295618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A219E6BA-BDCA-4FB8-9A89-89CD3C2610A2}"/>
            </a:ext>
          </a:extLst>
        </xdr:cNvPr>
        <xdr:cNvSpPr/>
      </xdr:nvSpPr>
      <xdr:spPr>
        <a:xfrm>
          <a:off x="578291" y="255137"/>
          <a:ext cx="695325" cy="695325"/>
        </a:xfrm>
        <a:prstGeom prst="ellipse">
          <a:avLst/>
        </a:prstGeom>
        <a:blipFill>
          <a:blip xmlns:r="http://schemas.openxmlformats.org/officeDocument/2006/relationships" r:embed="rId9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187098</xdr:colOff>
      <xdr:row>3</xdr:row>
      <xdr:rowOff>136072</xdr:rowOff>
    </xdr:from>
    <xdr:to>
      <xdr:col>0</xdr:col>
      <xdr:colOff>1641362</xdr:colOff>
      <xdr:row>4</xdr:row>
      <xdr:rowOff>93549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90ACF0C3-8A16-019B-13BC-63917543907C}"/>
            </a:ext>
          </a:extLst>
        </xdr:cNvPr>
        <xdr:cNvSpPr/>
      </xdr:nvSpPr>
      <xdr:spPr>
        <a:xfrm>
          <a:off x="187098" y="1114085"/>
          <a:ext cx="1454264" cy="2636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&gt; Bem vindo, Felipão.</a:t>
          </a:r>
        </a:p>
      </xdr:txBody>
    </xdr:sp>
    <xdr:clientData/>
  </xdr:twoCellAnchor>
  <xdr:twoCellAnchor editAs="absolute">
    <xdr:from>
      <xdr:col>1</xdr:col>
      <xdr:colOff>75859</xdr:colOff>
      <xdr:row>3</xdr:row>
      <xdr:rowOff>271464</xdr:rowOff>
    </xdr:from>
    <xdr:to>
      <xdr:col>10</xdr:col>
      <xdr:colOff>110558</xdr:colOff>
      <xdr:row>6</xdr:row>
      <xdr:rowOff>51025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0F11AE27-A154-4F8B-B591-3188355FCEC2}"/>
            </a:ext>
          </a:extLst>
        </xdr:cNvPr>
        <xdr:cNvSpPr/>
      </xdr:nvSpPr>
      <xdr:spPr>
        <a:xfrm>
          <a:off x="1929832" y="1249477"/>
          <a:ext cx="5537088" cy="40889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: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ung Sub Kim" refreshedDate="46034.630291435184" createdVersion="8" refreshedVersion="8" minRefreshableVersion="3" recordCount="295" xr:uid="{EDDC8C8D-293E-4B4D-96A8-B59470195705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7472121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x v="0"/>
    <x v="0"/>
    <x v="0"/>
    <n v="30"/>
    <s v="Yes"/>
    <n v="20"/>
    <n v="5"/>
    <n v="60"/>
  </r>
  <r>
    <n v="3232"/>
    <x v="1"/>
    <x v="1"/>
    <x v="1"/>
    <x v="1"/>
    <x v="1"/>
    <x v="1"/>
    <x v="1"/>
    <s v="-"/>
    <s v="No"/>
    <n v="0"/>
    <n v="0"/>
    <n v="5"/>
  </r>
  <r>
    <n v="3233"/>
    <x v="2"/>
    <x v="2"/>
    <x v="2"/>
    <x v="0"/>
    <x v="2"/>
    <x v="2"/>
    <x v="1"/>
    <s v="-"/>
    <s v="Yes"/>
    <n v="20"/>
    <n v="10"/>
    <n v="20"/>
  </r>
  <r>
    <n v="3234"/>
    <x v="3"/>
    <x v="0"/>
    <x v="3"/>
    <x v="1"/>
    <x v="0"/>
    <x v="0"/>
    <x v="0"/>
    <n v="30"/>
    <s v="Yes"/>
    <n v="20"/>
    <n v="3"/>
    <n v="62"/>
  </r>
  <r>
    <n v="3235"/>
    <x v="4"/>
    <x v="1"/>
    <x v="4"/>
    <x v="0"/>
    <x v="1"/>
    <x v="0"/>
    <x v="1"/>
    <s v="-"/>
    <s v="No"/>
    <n v="0"/>
    <n v="1"/>
    <n v="4"/>
  </r>
  <r>
    <n v="3236"/>
    <x v="5"/>
    <x v="2"/>
    <x v="5"/>
    <x v="1"/>
    <x v="2"/>
    <x v="0"/>
    <x v="1"/>
    <s v="-"/>
    <s v="Yes"/>
    <n v="20"/>
    <n v="2"/>
    <n v="28"/>
  </r>
  <r>
    <n v="3237"/>
    <x v="6"/>
    <x v="0"/>
    <x v="6"/>
    <x v="0"/>
    <x v="0"/>
    <x v="2"/>
    <x v="0"/>
    <n v="30"/>
    <s v="Yes"/>
    <n v="20"/>
    <n v="10"/>
    <n v="55"/>
  </r>
  <r>
    <n v="3238"/>
    <x v="7"/>
    <x v="1"/>
    <x v="7"/>
    <x v="0"/>
    <x v="1"/>
    <x v="1"/>
    <x v="1"/>
    <s v="-"/>
    <s v="No"/>
    <n v="0"/>
    <n v="0"/>
    <n v="5"/>
  </r>
  <r>
    <n v="3239"/>
    <x v="8"/>
    <x v="0"/>
    <x v="4"/>
    <x v="1"/>
    <x v="0"/>
    <x v="0"/>
    <x v="0"/>
    <n v="30"/>
    <s v="Yes"/>
    <n v="20"/>
    <n v="5"/>
    <n v="60"/>
  </r>
  <r>
    <n v="3240"/>
    <x v="9"/>
    <x v="2"/>
    <x v="8"/>
    <x v="0"/>
    <x v="2"/>
    <x v="2"/>
    <x v="1"/>
    <s v="-"/>
    <s v="Yes"/>
    <n v="20"/>
    <n v="15"/>
    <n v="15"/>
  </r>
  <r>
    <n v="3241"/>
    <x v="10"/>
    <x v="1"/>
    <x v="9"/>
    <x v="1"/>
    <x v="1"/>
    <x v="0"/>
    <x v="1"/>
    <s v="-"/>
    <s v="No"/>
    <n v="0"/>
    <n v="1"/>
    <n v="4"/>
  </r>
  <r>
    <n v="3242"/>
    <x v="11"/>
    <x v="0"/>
    <x v="10"/>
    <x v="0"/>
    <x v="0"/>
    <x v="1"/>
    <x v="0"/>
    <n v="30"/>
    <s v="Yes"/>
    <n v="20"/>
    <n v="20"/>
    <n v="45"/>
  </r>
  <r>
    <n v="3243"/>
    <x v="12"/>
    <x v="2"/>
    <x v="11"/>
    <x v="1"/>
    <x v="2"/>
    <x v="0"/>
    <x v="1"/>
    <s v="-"/>
    <s v="Yes"/>
    <n v="20"/>
    <n v="10"/>
    <n v="20"/>
  </r>
  <r>
    <n v="3244"/>
    <x v="13"/>
    <x v="1"/>
    <x v="12"/>
    <x v="0"/>
    <x v="1"/>
    <x v="2"/>
    <x v="1"/>
    <s v="-"/>
    <s v="No"/>
    <n v="0"/>
    <n v="0"/>
    <n v="5"/>
  </r>
  <r>
    <n v="3245"/>
    <x v="14"/>
    <x v="0"/>
    <x v="13"/>
    <x v="1"/>
    <x v="0"/>
    <x v="0"/>
    <x v="0"/>
    <n v="30"/>
    <s v="Yes"/>
    <n v="20"/>
    <n v="8"/>
    <n v="57"/>
  </r>
  <r>
    <n v="3246"/>
    <x v="15"/>
    <x v="2"/>
    <x v="14"/>
    <x v="0"/>
    <x v="2"/>
    <x v="1"/>
    <x v="1"/>
    <s v="-"/>
    <s v="Yes"/>
    <n v="20"/>
    <n v="12"/>
    <n v="18"/>
  </r>
  <r>
    <n v="3247"/>
    <x v="16"/>
    <x v="1"/>
    <x v="15"/>
    <x v="1"/>
    <x v="1"/>
    <x v="0"/>
    <x v="1"/>
    <s v="-"/>
    <s v="No"/>
    <n v="0"/>
    <n v="2"/>
    <n v="3"/>
  </r>
  <r>
    <n v="3248"/>
    <x v="17"/>
    <x v="0"/>
    <x v="16"/>
    <x v="0"/>
    <x v="0"/>
    <x v="2"/>
    <x v="0"/>
    <n v="30"/>
    <s v="Yes"/>
    <n v="20"/>
    <n v="7"/>
    <n v="58"/>
  </r>
  <r>
    <n v="3249"/>
    <x v="18"/>
    <x v="2"/>
    <x v="17"/>
    <x v="1"/>
    <x v="2"/>
    <x v="0"/>
    <x v="1"/>
    <s v="-"/>
    <s v="Yes"/>
    <n v="20"/>
    <n v="5"/>
    <n v="25"/>
  </r>
  <r>
    <n v="3250"/>
    <x v="19"/>
    <x v="1"/>
    <x v="18"/>
    <x v="0"/>
    <x v="1"/>
    <x v="1"/>
    <x v="1"/>
    <s v="-"/>
    <s v="No"/>
    <n v="0"/>
    <n v="0"/>
    <n v="5"/>
  </r>
  <r>
    <n v="3251"/>
    <x v="20"/>
    <x v="0"/>
    <x v="19"/>
    <x v="1"/>
    <x v="0"/>
    <x v="0"/>
    <x v="0"/>
    <n v="30"/>
    <s v="Yes"/>
    <n v="20"/>
    <n v="3"/>
    <n v="62"/>
  </r>
  <r>
    <n v="3252"/>
    <x v="21"/>
    <x v="2"/>
    <x v="20"/>
    <x v="0"/>
    <x v="2"/>
    <x v="2"/>
    <x v="1"/>
    <s v="-"/>
    <s v="Yes"/>
    <n v="20"/>
    <n v="15"/>
    <n v="15"/>
  </r>
  <r>
    <n v="3253"/>
    <x v="22"/>
    <x v="1"/>
    <x v="21"/>
    <x v="1"/>
    <x v="1"/>
    <x v="0"/>
    <x v="1"/>
    <s v="-"/>
    <s v="No"/>
    <n v="0"/>
    <n v="1"/>
    <n v="4"/>
  </r>
  <r>
    <n v="3254"/>
    <x v="23"/>
    <x v="0"/>
    <x v="22"/>
    <x v="0"/>
    <x v="0"/>
    <x v="1"/>
    <x v="0"/>
    <n v="30"/>
    <s v="Yes"/>
    <n v="20"/>
    <n v="20"/>
    <n v="45"/>
  </r>
  <r>
    <n v="3255"/>
    <x v="24"/>
    <x v="2"/>
    <x v="23"/>
    <x v="1"/>
    <x v="2"/>
    <x v="0"/>
    <x v="1"/>
    <s v="-"/>
    <s v="Yes"/>
    <n v="20"/>
    <n v="10"/>
    <n v="20"/>
  </r>
  <r>
    <n v="3256"/>
    <x v="25"/>
    <x v="1"/>
    <x v="24"/>
    <x v="0"/>
    <x v="1"/>
    <x v="2"/>
    <x v="1"/>
    <s v="-"/>
    <s v="No"/>
    <n v="0"/>
    <n v="0"/>
    <n v="5"/>
  </r>
  <r>
    <n v="3257"/>
    <x v="26"/>
    <x v="0"/>
    <x v="25"/>
    <x v="1"/>
    <x v="0"/>
    <x v="0"/>
    <x v="0"/>
    <n v="30"/>
    <s v="Yes"/>
    <n v="20"/>
    <n v="5"/>
    <n v="60"/>
  </r>
  <r>
    <n v="3258"/>
    <x v="27"/>
    <x v="2"/>
    <x v="26"/>
    <x v="0"/>
    <x v="2"/>
    <x v="1"/>
    <x v="1"/>
    <s v="-"/>
    <s v="Yes"/>
    <n v="20"/>
    <n v="15"/>
    <n v="15"/>
  </r>
  <r>
    <n v="3259"/>
    <x v="28"/>
    <x v="1"/>
    <x v="27"/>
    <x v="1"/>
    <x v="1"/>
    <x v="0"/>
    <x v="1"/>
    <s v="-"/>
    <s v="No"/>
    <n v="0"/>
    <n v="1"/>
    <n v="4"/>
  </r>
  <r>
    <n v="3260"/>
    <x v="29"/>
    <x v="0"/>
    <x v="28"/>
    <x v="0"/>
    <x v="0"/>
    <x v="2"/>
    <x v="0"/>
    <n v="30"/>
    <s v="Yes"/>
    <n v="20"/>
    <n v="7"/>
    <n v="58"/>
  </r>
  <r>
    <n v="3261"/>
    <x v="30"/>
    <x v="2"/>
    <x v="29"/>
    <x v="1"/>
    <x v="2"/>
    <x v="0"/>
    <x v="1"/>
    <s v="-"/>
    <s v="Yes"/>
    <n v="20"/>
    <n v="10"/>
    <n v="20"/>
  </r>
  <r>
    <n v="3262"/>
    <x v="31"/>
    <x v="1"/>
    <x v="30"/>
    <x v="0"/>
    <x v="1"/>
    <x v="1"/>
    <x v="1"/>
    <s v="-"/>
    <s v="No"/>
    <n v="0"/>
    <n v="0"/>
    <n v="5"/>
  </r>
  <r>
    <n v="3263"/>
    <x v="32"/>
    <x v="0"/>
    <x v="31"/>
    <x v="1"/>
    <x v="0"/>
    <x v="0"/>
    <x v="0"/>
    <n v="30"/>
    <s v="Yes"/>
    <n v="20"/>
    <n v="3"/>
    <n v="62"/>
  </r>
  <r>
    <n v="3264"/>
    <x v="33"/>
    <x v="2"/>
    <x v="32"/>
    <x v="0"/>
    <x v="2"/>
    <x v="2"/>
    <x v="1"/>
    <s v="-"/>
    <s v="Yes"/>
    <n v="20"/>
    <n v="15"/>
    <n v="15"/>
  </r>
  <r>
    <n v="3265"/>
    <x v="34"/>
    <x v="1"/>
    <x v="33"/>
    <x v="1"/>
    <x v="1"/>
    <x v="0"/>
    <x v="1"/>
    <s v="-"/>
    <s v="No"/>
    <n v="0"/>
    <n v="1"/>
    <n v="4"/>
  </r>
  <r>
    <n v="3266"/>
    <x v="35"/>
    <x v="1"/>
    <x v="34"/>
    <x v="0"/>
    <x v="1"/>
    <x v="0"/>
    <x v="1"/>
    <s v="-"/>
    <s v="No"/>
    <n v="0"/>
    <n v="0"/>
    <n v="5"/>
  </r>
  <r>
    <n v="3267"/>
    <x v="36"/>
    <x v="0"/>
    <x v="35"/>
    <x v="1"/>
    <x v="0"/>
    <x v="2"/>
    <x v="0"/>
    <n v="30"/>
    <s v="Yes"/>
    <n v="20"/>
    <n v="7"/>
    <n v="58"/>
  </r>
  <r>
    <n v="3268"/>
    <x v="37"/>
    <x v="2"/>
    <x v="36"/>
    <x v="0"/>
    <x v="2"/>
    <x v="1"/>
    <x v="1"/>
    <s v="-"/>
    <s v="Yes"/>
    <n v="20"/>
    <n v="10"/>
    <n v="20"/>
  </r>
  <r>
    <n v="3269"/>
    <x v="38"/>
    <x v="1"/>
    <x v="37"/>
    <x v="1"/>
    <x v="1"/>
    <x v="2"/>
    <x v="1"/>
    <s v="-"/>
    <s v="No"/>
    <n v="0"/>
    <n v="1"/>
    <n v="4"/>
  </r>
  <r>
    <n v="3270"/>
    <x v="39"/>
    <x v="0"/>
    <x v="38"/>
    <x v="0"/>
    <x v="0"/>
    <x v="0"/>
    <x v="0"/>
    <n v="30"/>
    <s v="Yes"/>
    <n v="20"/>
    <n v="15"/>
    <n v="50"/>
  </r>
  <r>
    <n v="3271"/>
    <x v="40"/>
    <x v="2"/>
    <x v="39"/>
    <x v="1"/>
    <x v="2"/>
    <x v="0"/>
    <x v="1"/>
    <s v="-"/>
    <s v="Yes"/>
    <n v="20"/>
    <n v="5"/>
    <n v="25"/>
  </r>
  <r>
    <n v="3272"/>
    <x v="41"/>
    <x v="1"/>
    <x v="40"/>
    <x v="0"/>
    <x v="1"/>
    <x v="1"/>
    <x v="1"/>
    <s v="-"/>
    <s v="No"/>
    <n v="0"/>
    <n v="0"/>
    <n v="5"/>
  </r>
  <r>
    <n v="3273"/>
    <x v="42"/>
    <x v="0"/>
    <x v="41"/>
    <x v="1"/>
    <x v="0"/>
    <x v="2"/>
    <x v="0"/>
    <n v="30"/>
    <s v="Yes"/>
    <n v="20"/>
    <n v="20"/>
    <n v="45"/>
  </r>
  <r>
    <n v="3274"/>
    <x v="43"/>
    <x v="2"/>
    <x v="42"/>
    <x v="0"/>
    <x v="2"/>
    <x v="2"/>
    <x v="1"/>
    <s v="-"/>
    <s v="Yes"/>
    <n v="20"/>
    <n v="12"/>
    <n v="18"/>
  </r>
  <r>
    <n v="3275"/>
    <x v="44"/>
    <x v="1"/>
    <x v="43"/>
    <x v="1"/>
    <x v="1"/>
    <x v="0"/>
    <x v="1"/>
    <s v="-"/>
    <s v="No"/>
    <n v="0"/>
    <n v="2"/>
    <n v="3"/>
  </r>
  <r>
    <n v="3276"/>
    <x v="45"/>
    <x v="0"/>
    <x v="44"/>
    <x v="0"/>
    <x v="0"/>
    <x v="1"/>
    <x v="0"/>
    <n v="30"/>
    <s v="Yes"/>
    <n v="20"/>
    <n v="5"/>
    <n v="60"/>
  </r>
  <r>
    <n v="3277"/>
    <x v="46"/>
    <x v="2"/>
    <x v="45"/>
    <x v="1"/>
    <x v="2"/>
    <x v="0"/>
    <x v="1"/>
    <s v="-"/>
    <s v="Yes"/>
    <n v="20"/>
    <n v="10"/>
    <n v="20"/>
  </r>
  <r>
    <n v="3278"/>
    <x v="47"/>
    <x v="1"/>
    <x v="46"/>
    <x v="0"/>
    <x v="1"/>
    <x v="2"/>
    <x v="1"/>
    <s v="-"/>
    <s v="No"/>
    <n v="0"/>
    <n v="0"/>
    <n v="5"/>
  </r>
  <r>
    <n v="3279"/>
    <x v="48"/>
    <x v="0"/>
    <x v="47"/>
    <x v="1"/>
    <x v="0"/>
    <x v="0"/>
    <x v="0"/>
    <n v="30"/>
    <s v="Yes"/>
    <n v="20"/>
    <n v="3"/>
    <n v="62"/>
  </r>
  <r>
    <n v="3280"/>
    <x v="49"/>
    <x v="2"/>
    <x v="48"/>
    <x v="0"/>
    <x v="2"/>
    <x v="1"/>
    <x v="1"/>
    <s v="-"/>
    <s v="Yes"/>
    <n v="20"/>
    <n v="15"/>
    <n v="15"/>
  </r>
  <r>
    <n v="3281"/>
    <x v="50"/>
    <x v="1"/>
    <x v="49"/>
    <x v="1"/>
    <x v="1"/>
    <x v="0"/>
    <x v="1"/>
    <s v="-"/>
    <s v="No"/>
    <n v="0"/>
    <n v="1"/>
    <n v="4"/>
  </r>
  <r>
    <n v="3282"/>
    <x v="51"/>
    <x v="0"/>
    <x v="50"/>
    <x v="0"/>
    <x v="0"/>
    <x v="2"/>
    <x v="0"/>
    <n v="30"/>
    <s v="Yes"/>
    <n v="20"/>
    <n v="7"/>
    <n v="58"/>
  </r>
  <r>
    <n v="3283"/>
    <x v="52"/>
    <x v="2"/>
    <x v="51"/>
    <x v="1"/>
    <x v="2"/>
    <x v="0"/>
    <x v="1"/>
    <s v="-"/>
    <s v="Yes"/>
    <n v="20"/>
    <n v="10"/>
    <n v="20"/>
  </r>
  <r>
    <n v="3284"/>
    <x v="53"/>
    <x v="1"/>
    <x v="52"/>
    <x v="0"/>
    <x v="1"/>
    <x v="1"/>
    <x v="1"/>
    <s v="-"/>
    <s v="No"/>
    <n v="0"/>
    <n v="0"/>
    <n v="5"/>
  </r>
  <r>
    <n v="3285"/>
    <x v="54"/>
    <x v="0"/>
    <x v="53"/>
    <x v="1"/>
    <x v="0"/>
    <x v="0"/>
    <x v="0"/>
    <n v="30"/>
    <s v="Yes"/>
    <n v="20"/>
    <n v="20"/>
    <n v="45"/>
  </r>
  <r>
    <n v="3286"/>
    <x v="55"/>
    <x v="2"/>
    <x v="54"/>
    <x v="0"/>
    <x v="2"/>
    <x v="2"/>
    <x v="1"/>
    <s v="-"/>
    <s v="Yes"/>
    <n v="20"/>
    <n v="15"/>
    <n v="15"/>
  </r>
  <r>
    <n v="3287"/>
    <x v="56"/>
    <x v="1"/>
    <x v="55"/>
    <x v="1"/>
    <x v="1"/>
    <x v="0"/>
    <x v="1"/>
    <s v="-"/>
    <s v="No"/>
    <n v="0"/>
    <n v="1"/>
    <n v="4"/>
  </r>
  <r>
    <n v="3288"/>
    <x v="57"/>
    <x v="0"/>
    <x v="56"/>
    <x v="0"/>
    <x v="0"/>
    <x v="1"/>
    <x v="0"/>
    <n v="30"/>
    <s v="Yes"/>
    <n v="20"/>
    <n v="3"/>
    <n v="62"/>
  </r>
  <r>
    <n v="3289"/>
    <x v="58"/>
    <x v="2"/>
    <x v="57"/>
    <x v="1"/>
    <x v="2"/>
    <x v="0"/>
    <x v="1"/>
    <s v="-"/>
    <s v="Yes"/>
    <n v="20"/>
    <n v="10"/>
    <n v="20"/>
  </r>
  <r>
    <n v="3290"/>
    <x v="59"/>
    <x v="1"/>
    <x v="58"/>
    <x v="0"/>
    <x v="1"/>
    <x v="2"/>
    <x v="1"/>
    <s v="-"/>
    <s v="No"/>
    <n v="0"/>
    <n v="0"/>
    <n v="5"/>
  </r>
  <r>
    <n v="3291"/>
    <x v="60"/>
    <x v="0"/>
    <x v="59"/>
    <x v="1"/>
    <x v="0"/>
    <x v="0"/>
    <x v="0"/>
    <n v="30"/>
    <s v="Yes"/>
    <n v="20"/>
    <n v="5"/>
    <n v="60"/>
  </r>
  <r>
    <n v="3292"/>
    <x v="61"/>
    <x v="2"/>
    <x v="60"/>
    <x v="0"/>
    <x v="2"/>
    <x v="1"/>
    <x v="1"/>
    <s v="-"/>
    <s v="Yes"/>
    <n v="20"/>
    <n v="15"/>
    <n v="15"/>
  </r>
  <r>
    <n v="3293"/>
    <x v="62"/>
    <x v="1"/>
    <x v="61"/>
    <x v="1"/>
    <x v="1"/>
    <x v="0"/>
    <x v="1"/>
    <s v="-"/>
    <s v="No"/>
    <n v="0"/>
    <n v="1"/>
    <n v="4"/>
  </r>
  <r>
    <n v="3294"/>
    <x v="63"/>
    <x v="0"/>
    <x v="62"/>
    <x v="0"/>
    <x v="0"/>
    <x v="2"/>
    <x v="0"/>
    <n v="30"/>
    <s v="Yes"/>
    <n v="20"/>
    <n v="20"/>
    <n v="45"/>
  </r>
  <r>
    <n v="3295"/>
    <x v="64"/>
    <x v="2"/>
    <x v="63"/>
    <x v="1"/>
    <x v="2"/>
    <x v="0"/>
    <x v="1"/>
    <s v="-"/>
    <s v="Yes"/>
    <n v="20"/>
    <n v="5"/>
    <n v="25"/>
  </r>
  <r>
    <n v="3296"/>
    <x v="65"/>
    <x v="1"/>
    <x v="64"/>
    <x v="1"/>
    <x v="1"/>
    <x v="0"/>
    <x v="1"/>
    <s v="-"/>
    <s v="No"/>
    <n v="0"/>
    <n v="0"/>
    <n v="5"/>
  </r>
  <r>
    <n v="3297"/>
    <x v="66"/>
    <x v="0"/>
    <x v="65"/>
    <x v="0"/>
    <x v="0"/>
    <x v="2"/>
    <x v="0"/>
    <n v="30"/>
    <s v="Yes"/>
    <n v="20"/>
    <n v="7"/>
    <n v="58"/>
  </r>
  <r>
    <n v="3298"/>
    <x v="67"/>
    <x v="2"/>
    <x v="66"/>
    <x v="1"/>
    <x v="2"/>
    <x v="1"/>
    <x v="1"/>
    <s v="-"/>
    <s v="Yes"/>
    <n v="20"/>
    <n v="10"/>
    <n v="20"/>
  </r>
  <r>
    <n v="3299"/>
    <x v="68"/>
    <x v="1"/>
    <x v="67"/>
    <x v="0"/>
    <x v="1"/>
    <x v="2"/>
    <x v="1"/>
    <s v="-"/>
    <s v="No"/>
    <n v="0"/>
    <n v="1"/>
    <n v="4"/>
  </r>
  <r>
    <n v="3300"/>
    <x v="69"/>
    <x v="0"/>
    <x v="68"/>
    <x v="1"/>
    <x v="0"/>
    <x v="0"/>
    <x v="0"/>
    <n v="30"/>
    <s v="Yes"/>
    <n v="20"/>
    <n v="15"/>
    <n v="50"/>
  </r>
  <r>
    <n v="3301"/>
    <x v="70"/>
    <x v="2"/>
    <x v="69"/>
    <x v="0"/>
    <x v="2"/>
    <x v="0"/>
    <x v="1"/>
    <s v="-"/>
    <s v="Yes"/>
    <n v="20"/>
    <n v="5"/>
    <n v="25"/>
  </r>
  <r>
    <n v="3302"/>
    <x v="71"/>
    <x v="1"/>
    <x v="70"/>
    <x v="1"/>
    <x v="1"/>
    <x v="1"/>
    <x v="1"/>
    <s v="-"/>
    <s v="No"/>
    <n v="0"/>
    <n v="0"/>
    <n v="5"/>
  </r>
  <r>
    <n v="3303"/>
    <x v="72"/>
    <x v="0"/>
    <x v="71"/>
    <x v="0"/>
    <x v="0"/>
    <x v="2"/>
    <x v="0"/>
    <n v="30"/>
    <s v="Yes"/>
    <n v="20"/>
    <n v="20"/>
    <n v="45"/>
  </r>
  <r>
    <n v="3304"/>
    <x v="73"/>
    <x v="2"/>
    <x v="72"/>
    <x v="1"/>
    <x v="2"/>
    <x v="2"/>
    <x v="1"/>
    <s v="-"/>
    <s v="Yes"/>
    <n v="20"/>
    <n v="12"/>
    <n v="18"/>
  </r>
  <r>
    <n v="3305"/>
    <x v="74"/>
    <x v="1"/>
    <x v="73"/>
    <x v="0"/>
    <x v="1"/>
    <x v="0"/>
    <x v="1"/>
    <s v="-"/>
    <s v="No"/>
    <n v="0"/>
    <n v="2"/>
    <n v="3"/>
  </r>
  <r>
    <n v="3306"/>
    <x v="75"/>
    <x v="0"/>
    <x v="74"/>
    <x v="1"/>
    <x v="0"/>
    <x v="1"/>
    <x v="0"/>
    <n v="30"/>
    <s v="Yes"/>
    <n v="20"/>
    <n v="5"/>
    <n v="60"/>
  </r>
  <r>
    <n v="3307"/>
    <x v="76"/>
    <x v="2"/>
    <x v="75"/>
    <x v="0"/>
    <x v="2"/>
    <x v="0"/>
    <x v="1"/>
    <s v="-"/>
    <s v="Yes"/>
    <n v="20"/>
    <n v="10"/>
    <n v="20"/>
  </r>
  <r>
    <n v="3308"/>
    <x v="77"/>
    <x v="1"/>
    <x v="76"/>
    <x v="1"/>
    <x v="1"/>
    <x v="2"/>
    <x v="1"/>
    <s v="-"/>
    <s v="No"/>
    <n v="0"/>
    <n v="0"/>
    <n v="5"/>
  </r>
  <r>
    <n v="3309"/>
    <x v="78"/>
    <x v="0"/>
    <x v="77"/>
    <x v="0"/>
    <x v="0"/>
    <x v="0"/>
    <x v="0"/>
    <n v="30"/>
    <s v="Yes"/>
    <n v="20"/>
    <n v="3"/>
    <n v="62"/>
  </r>
  <r>
    <n v="3310"/>
    <x v="79"/>
    <x v="2"/>
    <x v="78"/>
    <x v="1"/>
    <x v="2"/>
    <x v="1"/>
    <x v="1"/>
    <s v="-"/>
    <s v="Yes"/>
    <n v="20"/>
    <n v="15"/>
    <n v="15"/>
  </r>
  <r>
    <n v="3311"/>
    <x v="80"/>
    <x v="1"/>
    <x v="79"/>
    <x v="0"/>
    <x v="1"/>
    <x v="0"/>
    <x v="1"/>
    <s v="-"/>
    <s v="No"/>
    <n v="0"/>
    <n v="1"/>
    <n v="4"/>
  </r>
  <r>
    <n v="3312"/>
    <x v="81"/>
    <x v="0"/>
    <x v="80"/>
    <x v="1"/>
    <x v="0"/>
    <x v="2"/>
    <x v="0"/>
    <n v="30"/>
    <s v="Yes"/>
    <n v="20"/>
    <n v="7"/>
    <n v="58"/>
  </r>
  <r>
    <n v="3313"/>
    <x v="82"/>
    <x v="2"/>
    <x v="81"/>
    <x v="0"/>
    <x v="2"/>
    <x v="0"/>
    <x v="1"/>
    <s v="-"/>
    <s v="Yes"/>
    <n v="20"/>
    <n v="10"/>
    <n v="20"/>
  </r>
  <r>
    <n v="3314"/>
    <x v="83"/>
    <x v="1"/>
    <x v="82"/>
    <x v="1"/>
    <x v="1"/>
    <x v="1"/>
    <x v="1"/>
    <s v="-"/>
    <s v="No"/>
    <n v="0"/>
    <n v="0"/>
    <n v="5"/>
  </r>
  <r>
    <n v="3315"/>
    <x v="84"/>
    <x v="0"/>
    <x v="83"/>
    <x v="0"/>
    <x v="0"/>
    <x v="0"/>
    <x v="0"/>
    <n v="30"/>
    <s v="Yes"/>
    <n v="20"/>
    <n v="20"/>
    <n v="45"/>
  </r>
  <r>
    <n v="3316"/>
    <x v="85"/>
    <x v="2"/>
    <x v="84"/>
    <x v="1"/>
    <x v="2"/>
    <x v="2"/>
    <x v="1"/>
    <s v="-"/>
    <s v="Yes"/>
    <n v="20"/>
    <n v="15"/>
    <n v="15"/>
  </r>
  <r>
    <n v="3317"/>
    <x v="86"/>
    <x v="1"/>
    <x v="85"/>
    <x v="0"/>
    <x v="1"/>
    <x v="0"/>
    <x v="1"/>
    <s v="-"/>
    <s v="No"/>
    <n v="0"/>
    <n v="1"/>
    <n v="4"/>
  </r>
  <r>
    <n v="3318"/>
    <x v="87"/>
    <x v="0"/>
    <x v="86"/>
    <x v="1"/>
    <x v="0"/>
    <x v="1"/>
    <x v="0"/>
    <n v="30"/>
    <s v="Yes"/>
    <n v="20"/>
    <n v="3"/>
    <n v="62"/>
  </r>
  <r>
    <n v="3319"/>
    <x v="88"/>
    <x v="2"/>
    <x v="87"/>
    <x v="0"/>
    <x v="2"/>
    <x v="0"/>
    <x v="1"/>
    <s v="-"/>
    <s v="Yes"/>
    <n v="20"/>
    <n v="10"/>
    <n v="20"/>
  </r>
  <r>
    <n v="3320"/>
    <x v="89"/>
    <x v="1"/>
    <x v="88"/>
    <x v="1"/>
    <x v="1"/>
    <x v="2"/>
    <x v="1"/>
    <s v="-"/>
    <s v="No"/>
    <n v="0"/>
    <n v="0"/>
    <n v="5"/>
  </r>
  <r>
    <n v="3321"/>
    <x v="90"/>
    <x v="0"/>
    <x v="89"/>
    <x v="0"/>
    <x v="0"/>
    <x v="0"/>
    <x v="0"/>
    <n v="30"/>
    <s v="Yes"/>
    <n v="20"/>
    <n v="5"/>
    <n v="60"/>
  </r>
  <r>
    <n v="3322"/>
    <x v="91"/>
    <x v="2"/>
    <x v="90"/>
    <x v="1"/>
    <x v="2"/>
    <x v="1"/>
    <x v="1"/>
    <s v="-"/>
    <s v="Yes"/>
    <n v="20"/>
    <n v="15"/>
    <n v="15"/>
  </r>
  <r>
    <n v="3323"/>
    <x v="92"/>
    <x v="1"/>
    <x v="91"/>
    <x v="0"/>
    <x v="1"/>
    <x v="0"/>
    <x v="1"/>
    <s v="-"/>
    <s v="No"/>
    <n v="0"/>
    <n v="1"/>
    <n v="4"/>
  </r>
  <r>
    <n v="3324"/>
    <x v="93"/>
    <x v="0"/>
    <x v="92"/>
    <x v="1"/>
    <x v="0"/>
    <x v="2"/>
    <x v="0"/>
    <n v="30"/>
    <s v="Yes"/>
    <n v="20"/>
    <n v="20"/>
    <n v="45"/>
  </r>
  <r>
    <n v="3325"/>
    <x v="94"/>
    <x v="2"/>
    <x v="93"/>
    <x v="0"/>
    <x v="2"/>
    <x v="2"/>
    <x v="1"/>
    <s v="-"/>
    <s v="Yes"/>
    <n v="20"/>
    <n v="15"/>
    <n v="15"/>
  </r>
  <r>
    <n v="3326"/>
    <x v="95"/>
    <x v="1"/>
    <x v="94"/>
    <x v="1"/>
    <x v="1"/>
    <x v="1"/>
    <x v="1"/>
    <s v="-"/>
    <s v="No"/>
    <n v="0"/>
    <n v="0"/>
    <n v="5"/>
  </r>
  <r>
    <n v="3327"/>
    <x v="96"/>
    <x v="0"/>
    <x v="95"/>
    <x v="0"/>
    <x v="0"/>
    <x v="0"/>
    <x v="0"/>
    <n v="30"/>
    <s v="Yes"/>
    <n v="20"/>
    <n v="7"/>
    <n v="58"/>
  </r>
  <r>
    <n v="3328"/>
    <x v="97"/>
    <x v="2"/>
    <x v="96"/>
    <x v="1"/>
    <x v="2"/>
    <x v="1"/>
    <x v="1"/>
    <s v="-"/>
    <s v="Yes"/>
    <n v="20"/>
    <n v="10"/>
    <n v="20"/>
  </r>
  <r>
    <n v="3329"/>
    <x v="98"/>
    <x v="1"/>
    <x v="97"/>
    <x v="0"/>
    <x v="1"/>
    <x v="2"/>
    <x v="1"/>
    <s v="-"/>
    <s v="No"/>
    <n v="0"/>
    <n v="1"/>
    <n v="4"/>
  </r>
  <r>
    <n v="3330"/>
    <x v="99"/>
    <x v="0"/>
    <x v="98"/>
    <x v="1"/>
    <x v="0"/>
    <x v="0"/>
    <x v="0"/>
    <n v="30"/>
    <s v="Yes"/>
    <n v="20"/>
    <n v="15"/>
    <n v="50"/>
  </r>
  <r>
    <n v="3331"/>
    <x v="100"/>
    <x v="2"/>
    <x v="99"/>
    <x v="0"/>
    <x v="2"/>
    <x v="0"/>
    <x v="1"/>
    <s v="-"/>
    <s v="Yes"/>
    <n v="20"/>
    <n v="5"/>
    <n v="25"/>
  </r>
  <r>
    <n v="3332"/>
    <x v="101"/>
    <x v="1"/>
    <x v="100"/>
    <x v="1"/>
    <x v="1"/>
    <x v="1"/>
    <x v="1"/>
    <s v="-"/>
    <s v="No"/>
    <n v="0"/>
    <n v="0"/>
    <n v="5"/>
  </r>
  <r>
    <n v="3333"/>
    <x v="102"/>
    <x v="0"/>
    <x v="101"/>
    <x v="0"/>
    <x v="0"/>
    <x v="2"/>
    <x v="0"/>
    <n v="30"/>
    <s v="Yes"/>
    <n v="20"/>
    <n v="20"/>
    <n v="45"/>
  </r>
  <r>
    <n v="3334"/>
    <x v="103"/>
    <x v="2"/>
    <x v="102"/>
    <x v="1"/>
    <x v="2"/>
    <x v="2"/>
    <x v="1"/>
    <s v="-"/>
    <s v="Yes"/>
    <n v="20"/>
    <n v="12"/>
    <n v="18"/>
  </r>
  <r>
    <n v="3335"/>
    <x v="104"/>
    <x v="1"/>
    <x v="103"/>
    <x v="0"/>
    <x v="1"/>
    <x v="0"/>
    <x v="1"/>
    <s v="-"/>
    <s v="No"/>
    <n v="0"/>
    <n v="2"/>
    <n v="3"/>
  </r>
  <r>
    <n v="3336"/>
    <x v="105"/>
    <x v="1"/>
    <x v="104"/>
    <x v="0"/>
    <x v="1"/>
    <x v="0"/>
    <x v="1"/>
    <s v="-"/>
    <s v="No"/>
    <n v="0"/>
    <n v="0"/>
    <n v="5"/>
  </r>
  <r>
    <n v="3337"/>
    <x v="106"/>
    <x v="0"/>
    <x v="105"/>
    <x v="1"/>
    <x v="0"/>
    <x v="2"/>
    <x v="0"/>
    <n v="30"/>
    <s v="Yes"/>
    <n v="20"/>
    <n v="7"/>
    <n v="58"/>
  </r>
  <r>
    <n v="3338"/>
    <x v="107"/>
    <x v="2"/>
    <x v="106"/>
    <x v="0"/>
    <x v="2"/>
    <x v="1"/>
    <x v="1"/>
    <s v="-"/>
    <s v="Yes"/>
    <n v="20"/>
    <n v="10"/>
    <n v="20"/>
  </r>
  <r>
    <n v="3339"/>
    <x v="108"/>
    <x v="1"/>
    <x v="107"/>
    <x v="1"/>
    <x v="1"/>
    <x v="2"/>
    <x v="1"/>
    <s v="-"/>
    <s v="No"/>
    <n v="0"/>
    <n v="1"/>
    <n v="4"/>
  </r>
  <r>
    <n v="3340"/>
    <x v="109"/>
    <x v="0"/>
    <x v="108"/>
    <x v="0"/>
    <x v="0"/>
    <x v="0"/>
    <x v="0"/>
    <n v="30"/>
    <s v="Yes"/>
    <n v="20"/>
    <n v="15"/>
    <n v="50"/>
  </r>
  <r>
    <n v="3341"/>
    <x v="110"/>
    <x v="2"/>
    <x v="109"/>
    <x v="1"/>
    <x v="2"/>
    <x v="0"/>
    <x v="1"/>
    <s v="-"/>
    <s v="Yes"/>
    <n v="20"/>
    <n v="5"/>
    <n v="25"/>
  </r>
  <r>
    <n v="3342"/>
    <x v="111"/>
    <x v="1"/>
    <x v="110"/>
    <x v="0"/>
    <x v="1"/>
    <x v="1"/>
    <x v="1"/>
    <s v="-"/>
    <s v="No"/>
    <n v="0"/>
    <n v="0"/>
    <n v="5"/>
  </r>
  <r>
    <n v="3343"/>
    <x v="112"/>
    <x v="0"/>
    <x v="111"/>
    <x v="1"/>
    <x v="0"/>
    <x v="2"/>
    <x v="0"/>
    <n v="30"/>
    <s v="Yes"/>
    <n v="20"/>
    <n v="20"/>
    <n v="45"/>
  </r>
  <r>
    <n v="3344"/>
    <x v="113"/>
    <x v="2"/>
    <x v="112"/>
    <x v="0"/>
    <x v="2"/>
    <x v="2"/>
    <x v="1"/>
    <s v="-"/>
    <s v="Yes"/>
    <n v="20"/>
    <n v="12"/>
    <n v="18"/>
  </r>
  <r>
    <n v="3345"/>
    <x v="114"/>
    <x v="1"/>
    <x v="113"/>
    <x v="1"/>
    <x v="1"/>
    <x v="0"/>
    <x v="1"/>
    <s v="-"/>
    <s v="No"/>
    <n v="0"/>
    <n v="2"/>
    <n v="3"/>
  </r>
  <r>
    <n v="3346"/>
    <x v="115"/>
    <x v="0"/>
    <x v="114"/>
    <x v="0"/>
    <x v="0"/>
    <x v="1"/>
    <x v="0"/>
    <n v="30"/>
    <s v="Yes"/>
    <n v="20"/>
    <n v="5"/>
    <n v="60"/>
  </r>
  <r>
    <n v="3347"/>
    <x v="116"/>
    <x v="2"/>
    <x v="115"/>
    <x v="1"/>
    <x v="2"/>
    <x v="0"/>
    <x v="1"/>
    <s v="-"/>
    <s v="Yes"/>
    <n v="20"/>
    <n v="10"/>
    <n v="20"/>
  </r>
  <r>
    <n v="3348"/>
    <x v="117"/>
    <x v="1"/>
    <x v="116"/>
    <x v="0"/>
    <x v="1"/>
    <x v="2"/>
    <x v="1"/>
    <s v="-"/>
    <s v="No"/>
    <n v="0"/>
    <n v="0"/>
    <n v="5"/>
  </r>
  <r>
    <n v="3349"/>
    <x v="93"/>
    <x v="0"/>
    <x v="117"/>
    <x v="1"/>
    <x v="0"/>
    <x v="0"/>
    <x v="0"/>
    <n v="30"/>
    <s v="Yes"/>
    <n v="20"/>
    <n v="3"/>
    <n v="62"/>
  </r>
  <r>
    <n v="3350"/>
    <x v="118"/>
    <x v="2"/>
    <x v="118"/>
    <x v="0"/>
    <x v="2"/>
    <x v="1"/>
    <x v="1"/>
    <s v="-"/>
    <s v="Yes"/>
    <n v="20"/>
    <n v="15"/>
    <n v="15"/>
  </r>
  <r>
    <n v="3351"/>
    <x v="119"/>
    <x v="1"/>
    <x v="119"/>
    <x v="1"/>
    <x v="1"/>
    <x v="0"/>
    <x v="1"/>
    <s v="-"/>
    <s v="No"/>
    <n v="0"/>
    <n v="1"/>
    <n v="4"/>
  </r>
  <r>
    <n v="3352"/>
    <x v="120"/>
    <x v="0"/>
    <x v="120"/>
    <x v="0"/>
    <x v="0"/>
    <x v="2"/>
    <x v="0"/>
    <n v="30"/>
    <s v="Yes"/>
    <n v="20"/>
    <n v="7"/>
    <n v="58"/>
  </r>
  <r>
    <n v="3353"/>
    <x v="121"/>
    <x v="2"/>
    <x v="121"/>
    <x v="1"/>
    <x v="2"/>
    <x v="0"/>
    <x v="1"/>
    <s v="-"/>
    <s v="Yes"/>
    <n v="20"/>
    <n v="10"/>
    <n v="20"/>
  </r>
  <r>
    <n v="3354"/>
    <x v="122"/>
    <x v="1"/>
    <x v="122"/>
    <x v="0"/>
    <x v="1"/>
    <x v="1"/>
    <x v="1"/>
    <s v="-"/>
    <s v="No"/>
    <n v="0"/>
    <n v="0"/>
    <n v="5"/>
  </r>
  <r>
    <n v="3355"/>
    <x v="123"/>
    <x v="0"/>
    <x v="123"/>
    <x v="1"/>
    <x v="0"/>
    <x v="0"/>
    <x v="0"/>
    <n v="30"/>
    <s v="Yes"/>
    <n v="20"/>
    <n v="20"/>
    <n v="45"/>
  </r>
  <r>
    <n v="3356"/>
    <x v="124"/>
    <x v="2"/>
    <x v="124"/>
    <x v="0"/>
    <x v="2"/>
    <x v="2"/>
    <x v="1"/>
    <s v="-"/>
    <s v="Yes"/>
    <n v="20"/>
    <n v="15"/>
    <n v="15"/>
  </r>
  <r>
    <n v="3357"/>
    <x v="125"/>
    <x v="1"/>
    <x v="125"/>
    <x v="1"/>
    <x v="1"/>
    <x v="0"/>
    <x v="1"/>
    <s v="-"/>
    <s v="No"/>
    <n v="0"/>
    <n v="1"/>
    <n v="4"/>
  </r>
  <r>
    <n v="3358"/>
    <x v="126"/>
    <x v="0"/>
    <x v="126"/>
    <x v="0"/>
    <x v="0"/>
    <x v="1"/>
    <x v="0"/>
    <n v="30"/>
    <s v="Yes"/>
    <n v="20"/>
    <n v="3"/>
    <n v="62"/>
  </r>
  <r>
    <n v="3359"/>
    <x v="127"/>
    <x v="2"/>
    <x v="127"/>
    <x v="1"/>
    <x v="2"/>
    <x v="0"/>
    <x v="1"/>
    <s v="-"/>
    <s v="Yes"/>
    <n v="20"/>
    <n v="10"/>
    <n v="20"/>
  </r>
  <r>
    <n v="3360"/>
    <x v="128"/>
    <x v="1"/>
    <x v="128"/>
    <x v="0"/>
    <x v="1"/>
    <x v="2"/>
    <x v="1"/>
    <s v="-"/>
    <s v="No"/>
    <n v="0"/>
    <n v="0"/>
    <n v="5"/>
  </r>
  <r>
    <n v="3361"/>
    <x v="129"/>
    <x v="0"/>
    <x v="129"/>
    <x v="1"/>
    <x v="0"/>
    <x v="0"/>
    <x v="0"/>
    <n v="30"/>
    <s v="Yes"/>
    <n v="20"/>
    <n v="15"/>
    <n v="50"/>
  </r>
  <r>
    <n v="3362"/>
    <x v="130"/>
    <x v="2"/>
    <x v="130"/>
    <x v="0"/>
    <x v="2"/>
    <x v="1"/>
    <x v="1"/>
    <s v="-"/>
    <s v="Yes"/>
    <n v="20"/>
    <n v="15"/>
    <n v="15"/>
  </r>
  <r>
    <n v="3363"/>
    <x v="131"/>
    <x v="1"/>
    <x v="131"/>
    <x v="1"/>
    <x v="1"/>
    <x v="0"/>
    <x v="1"/>
    <s v="-"/>
    <s v="No"/>
    <n v="0"/>
    <n v="1"/>
    <n v="4"/>
  </r>
  <r>
    <n v="3364"/>
    <x v="132"/>
    <x v="0"/>
    <x v="132"/>
    <x v="0"/>
    <x v="0"/>
    <x v="2"/>
    <x v="0"/>
    <n v="30"/>
    <s v="Yes"/>
    <n v="20"/>
    <n v="7"/>
    <n v="58"/>
  </r>
  <r>
    <n v="3365"/>
    <x v="133"/>
    <x v="2"/>
    <x v="133"/>
    <x v="1"/>
    <x v="2"/>
    <x v="0"/>
    <x v="1"/>
    <s v="-"/>
    <s v="Yes"/>
    <n v="20"/>
    <n v="10"/>
    <n v="20"/>
  </r>
  <r>
    <n v="3366"/>
    <x v="134"/>
    <x v="1"/>
    <x v="134"/>
    <x v="0"/>
    <x v="1"/>
    <x v="0"/>
    <x v="1"/>
    <s v="-"/>
    <s v="No"/>
    <n v="0"/>
    <n v="0"/>
    <n v="5"/>
  </r>
  <r>
    <n v="3367"/>
    <x v="135"/>
    <x v="0"/>
    <x v="135"/>
    <x v="1"/>
    <x v="0"/>
    <x v="2"/>
    <x v="0"/>
    <n v="30"/>
    <s v="Yes"/>
    <n v="20"/>
    <n v="7"/>
    <n v="58"/>
  </r>
  <r>
    <n v="3368"/>
    <x v="136"/>
    <x v="2"/>
    <x v="136"/>
    <x v="0"/>
    <x v="2"/>
    <x v="1"/>
    <x v="1"/>
    <s v="-"/>
    <s v="Yes"/>
    <n v="20"/>
    <n v="10"/>
    <n v="20"/>
  </r>
  <r>
    <n v="3369"/>
    <x v="137"/>
    <x v="1"/>
    <x v="137"/>
    <x v="1"/>
    <x v="1"/>
    <x v="2"/>
    <x v="1"/>
    <s v="-"/>
    <s v="No"/>
    <n v="0"/>
    <n v="1"/>
    <n v="4"/>
  </r>
  <r>
    <n v="3370"/>
    <x v="138"/>
    <x v="0"/>
    <x v="138"/>
    <x v="0"/>
    <x v="0"/>
    <x v="0"/>
    <x v="0"/>
    <n v="30"/>
    <s v="Yes"/>
    <n v="20"/>
    <n v="15"/>
    <n v="50"/>
  </r>
  <r>
    <n v="3371"/>
    <x v="139"/>
    <x v="2"/>
    <x v="139"/>
    <x v="1"/>
    <x v="2"/>
    <x v="0"/>
    <x v="1"/>
    <s v="-"/>
    <s v="Yes"/>
    <n v="20"/>
    <n v="5"/>
    <n v="25"/>
  </r>
  <r>
    <n v="3372"/>
    <x v="140"/>
    <x v="1"/>
    <x v="140"/>
    <x v="0"/>
    <x v="1"/>
    <x v="1"/>
    <x v="1"/>
    <s v="-"/>
    <s v="No"/>
    <n v="0"/>
    <n v="0"/>
    <n v="5"/>
  </r>
  <r>
    <n v="3373"/>
    <x v="141"/>
    <x v="0"/>
    <x v="141"/>
    <x v="1"/>
    <x v="0"/>
    <x v="2"/>
    <x v="0"/>
    <n v="30"/>
    <s v="Yes"/>
    <n v="20"/>
    <n v="20"/>
    <n v="45"/>
  </r>
  <r>
    <n v="3374"/>
    <x v="142"/>
    <x v="2"/>
    <x v="142"/>
    <x v="0"/>
    <x v="2"/>
    <x v="2"/>
    <x v="1"/>
    <s v="-"/>
    <s v="Yes"/>
    <n v="20"/>
    <n v="12"/>
    <n v="18"/>
  </r>
  <r>
    <n v="3375"/>
    <x v="143"/>
    <x v="1"/>
    <x v="143"/>
    <x v="1"/>
    <x v="1"/>
    <x v="0"/>
    <x v="1"/>
    <s v="-"/>
    <s v="No"/>
    <n v="0"/>
    <n v="2"/>
    <n v="3"/>
  </r>
  <r>
    <n v="3376"/>
    <x v="144"/>
    <x v="0"/>
    <x v="144"/>
    <x v="0"/>
    <x v="0"/>
    <x v="1"/>
    <x v="0"/>
    <n v="30"/>
    <s v="Yes"/>
    <n v="20"/>
    <n v="5"/>
    <n v="60"/>
  </r>
  <r>
    <n v="3377"/>
    <x v="145"/>
    <x v="2"/>
    <x v="145"/>
    <x v="1"/>
    <x v="2"/>
    <x v="0"/>
    <x v="1"/>
    <s v="-"/>
    <s v="Yes"/>
    <n v="20"/>
    <n v="10"/>
    <n v="20"/>
  </r>
  <r>
    <n v="3378"/>
    <x v="146"/>
    <x v="1"/>
    <x v="146"/>
    <x v="0"/>
    <x v="1"/>
    <x v="2"/>
    <x v="1"/>
    <s v="-"/>
    <s v="No"/>
    <n v="0"/>
    <n v="0"/>
    <n v="5"/>
  </r>
  <r>
    <n v="3379"/>
    <x v="147"/>
    <x v="0"/>
    <x v="147"/>
    <x v="1"/>
    <x v="0"/>
    <x v="0"/>
    <x v="0"/>
    <n v="30"/>
    <s v="Yes"/>
    <n v="20"/>
    <n v="3"/>
    <n v="62"/>
  </r>
  <r>
    <n v="3380"/>
    <x v="148"/>
    <x v="2"/>
    <x v="148"/>
    <x v="0"/>
    <x v="2"/>
    <x v="1"/>
    <x v="1"/>
    <s v="-"/>
    <s v="Yes"/>
    <n v="20"/>
    <n v="15"/>
    <n v="15"/>
  </r>
  <r>
    <n v="3381"/>
    <x v="149"/>
    <x v="1"/>
    <x v="149"/>
    <x v="1"/>
    <x v="1"/>
    <x v="0"/>
    <x v="1"/>
    <s v="-"/>
    <s v="No"/>
    <n v="0"/>
    <n v="1"/>
    <n v="4"/>
  </r>
  <r>
    <n v="3382"/>
    <x v="150"/>
    <x v="0"/>
    <x v="150"/>
    <x v="0"/>
    <x v="0"/>
    <x v="2"/>
    <x v="0"/>
    <n v="30"/>
    <s v="Yes"/>
    <n v="20"/>
    <n v="7"/>
    <n v="58"/>
  </r>
  <r>
    <n v="3383"/>
    <x v="151"/>
    <x v="2"/>
    <x v="151"/>
    <x v="1"/>
    <x v="2"/>
    <x v="0"/>
    <x v="1"/>
    <s v="-"/>
    <s v="Yes"/>
    <n v="20"/>
    <n v="10"/>
    <n v="20"/>
  </r>
  <r>
    <n v="3384"/>
    <x v="152"/>
    <x v="1"/>
    <x v="152"/>
    <x v="0"/>
    <x v="1"/>
    <x v="1"/>
    <x v="1"/>
    <s v="-"/>
    <s v="No"/>
    <n v="0"/>
    <n v="0"/>
    <n v="5"/>
  </r>
  <r>
    <n v="3385"/>
    <x v="153"/>
    <x v="0"/>
    <x v="153"/>
    <x v="1"/>
    <x v="0"/>
    <x v="0"/>
    <x v="0"/>
    <n v="30"/>
    <s v="Yes"/>
    <n v="20"/>
    <n v="20"/>
    <n v="45"/>
  </r>
  <r>
    <n v="3386"/>
    <x v="154"/>
    <x v="2"/>
    <x v="154"/>
    <x v="0"/>
    <x v="2"/>
    <x v="2"/>
    <x v="1"/>
    <s v="-"/>
    <s v="Yes"/>
    <n v="20"/>
    <n v="15"/>
    <n v="15"/>
  </r>
  <r>
    <n v="3387"/>
    <x v="155"/>
    <x v="1"/>
    <x v="155"/>
    <x v="1"/>
    <x v="1"/>
    <x v="0"/>
    <x v="1"/>
    <s v="-"/>
    <s v="No"/>
    <n v="0"/>
    <n v="1"/>
    <n v="4"/>
  </r>
  <r>
    <n v="3388"/>
    <x v="156"/>
    <x v="0"/>
    <x v="156"/>
    <x v="0"/>
    <x v="0"/>
    <x v="1"/>
    <x v="0"/>
    <n v="30"/>
    <s v="Yes"/>
    <n v="20"/>
    <n v="3"/>
    <n v="62"/>
  </r>
  <r>
    <n v="3389"/>
    <x v="157"/>
    <x v="2"/>
    <x v="157"/>
    <x v="1"/>
    <x v="2"/>
    <x v="0"/>
    <x v="1"/>
    <s v="-"/>
    <s v="Yes"/>
    <n v="20"/>
    <n v="10"/>
    <n v="20"/>
  </r>
  <r>
    <n v="3390"/>
    <x v="158"/>
    <x v="1"/>
    <x v="158"/>
    <x v="0"/>
    <x v="1"/>
    <x v="2"/>
    <x v="1"/>
    <s v="-"/>
    <s v="No"/>
    <n v="0"/>
    <n v="0"/>
    <n v="5"/>
  </r>
  <r>
    <n v="3391"/>
    <x v="58"/>
    <x v="0"/>
    <x v="159"/>
    <x v="1"/>
    <x v="0"/>
    <x v="0"/>
    <x v="0"/>
    <n v="30"/>
    <s v="Yes"/>
    <n v="20"/>
    <n v="15"/>
    <n v="50"/>
  </r>
  <r>
    <n v="3392"/>
    <x v="159"/>
    <x v="2"/>
    <x v="160"/>
    <x v="0"/>
    <x v="2"/>
    <x v="1"/>
    <x v="1"/>
    <s v="-"/>
    <s v="Yes"/>
    <n v="20"/>
    <n v="15"/>
    <n v="15"/>
  </r>
  <r>
    <n v="3393"/>
    <x v="160"/>
    <x v="1"/>
    <x v="161"/>
    <x v="1"/>
    <x v="1"/>
    <x v="0"/>
    <x v="1"/>
    <s v="-"/>
    <s v="No"/>
    <n v="0"/>
    <n v="1"/>
    <n v="4"/>
  </r>
  <r>
    <n v="3394"/>
    <x v="161"/>
    <x v="0"/>
    <x v="162"/>
    <x v="0"/>
    <x v="0"/>
    <x v="2"/>
    <x v="0"/>
    <n v="30"/>
    <s v="Yes"/>
    <n v="20"/>
    <n v="7"/>
    <n v="58"/>
  </r>
  <r>
    <n v="3395"/>
    <x v="162"/>
    <x v="2"/>
    <x v="163"/>
    <x v="1"/>
    <x v="2"/>
    <x v="0"/>
    <x v="1"/>
    <s v="-"/>
    <s v="Yes"/>
    <n v="20"/>
    <n v="10"/>
    <n v="20"/>
  </r>
  <r>
    <n v="3396"/>
    <x v="163"/>
    <x v="1"/>
    <x v="164"/>
    <x v="0"/>
    <x v="1"/>
    <x v="1"/>
    <x v="1"/>
    <s v="-"/>
    <s v="No"/>
    <n v="0"/>
    <n v="0"/>
    <n v="5"/>
  </r>
  <r>
    <n v="3397"/>
    <x v="90"/>
    <x v="0"/>
    <x v="165"/>
    <x v="1"/>
    <x v="0"/>
    <x v="0"/>
    <x v="0"/>
    <n v="30"/>
    <s v="Yes"/>
    <n v="20"/>
    <n v="20"/>
    <n v="45"/>
  </r>
  <r>
    <n v="3398"/>
    <x v="164"/>
    <x v="2"/>
    <x v="166"/>
    <x v="0"/>
    <x v="2"/>
    <x v="2"/>
    <x v="1"/>
    <s v="-"/>
    <s v="Yes"/>
    <n v="20"/>
    <n v="15"/>
    <n v="15"/>
  </r>
  <r>
    <n v="3399"/>
    <x v="165"/>
    <x v="1"/>
    <x v="167"/>
    <x v="1"/>
    <x v="1"/>
    <x v="0"/>
    <x v="1"/>
    <s v="-"/>
    <s v="No"/>
    <n v="0"/>
    <n v="1"/>
    <n v="4"/>
  </r>
  <r>
    <n v="3400"/>
    <x v="166"/>
    <x v="0"/>
    <x v="168"/>
    <x v="0"/>
    <x v="0"/>
    <x v="1"/>
    <x v="0"/>
    <n v="30"/>
    <s v="Yes"/>
    <n v="20"/>
    <n v="5"/>
    <n v="60"/>
  </r>
  <r>
    <n v="3401"/>
    <x v="167"/>
    <x v="2"/>
    <x v="169"/>
    <x v="1"/>
    <x v="2"/>
    <x v="0"/>
    <x v="1"/>
    <s v="-"/>
    <s v="Yes"/>
    <n v="20"/>
    <n v="10"/>
    <n v="20"/>
  </r>
  <r>
    <n v="3402"/>
    <x v="168"/>
    <x v="1"/>
    <x v="170"/>
    <x v="0"/>
    <x v="1"/>
    <x v="2"/>
    <x v="1"/>
    <s v="-"/>
    <s v="No"/>
    <n v="0"/>
    <n v="0"/>
    <n v="5"/>
  </r>
  <r>
    <n v="3403"/>
    <x v="169"/>
    <x v="0"/>
    <x v="171"/>
    <x v="1"/>
    <x v="0"/>
    <x v="0"/>
    <x v="0"/>
    <n v="30"/>
    <s v="Yes"/>
    <n v="20"/>
    <n v="3"/>
    <n v="62"/>
  </r>
  <r>
    <n v="3404"/>
    <x v="170"/>
    <x v="2"/>
    <x v="172"/>
    <x v="0"/>
    <x v="2"/>
    <x v="1"/>
    <x v="1"/>
    <s v="-"/>
    <s v="Yes"/>
    <n v="20"/>
    <n v="15"/>
    <n v="15"/>
  </r>
  <r>
    <n v="3405"/>
    <x v="171"/>
    <x v="1"/>
    <x v="173"/>
    <x v="1"/>
    <x v="1"/>
    <x v="0"/>
    <x v="1"/>
    <s v="-"/>
    <s v="No"/>
    <n v="0"/>
    <n v="1"/>
    <n v="4"/>
  </r>
  <r>
    <n v="3406"/>
    <x v="172"/>
    <x v="1"/>
    <x v="174"/>
    <x v="0"/>
    <x v="1"/>
    <x v="0"/>
    <x v="1"/>
    <s v="-"/>
    <s v="No"/>
    <n v="0"/>
    <n v="0"/>
    <n v="5"/>
  </r>
  <r>
    <n v="3407"/>
    <x v="173"/>
    <x v="0"/>
    <x v="175"/>
    <x v="1"/>
    <x v="0"/>
    <x v="2"/>
    <x v="0"/>
    <n v="30"/>
    <s v="Yes"/>
    <n v="20"/>
    <n v="7"/>
    <n v="58"/>
  </r>
  <r>
    <n v="3408"/>
    <x v="174"/>
    <x v="2"/>
    <x v="176"/>
    <x v="0"/>
    <x v="2"/>
    <x v="1"/>
    <x v="1"/>
    <s v="-"/>
    <s v="Yes"/>
    <n v="20"/>
    <n v="10"/>
    <n v="20"/>
  </r>
  <r>
    <n v="3409"/>
    <x v="175"/>
    <x v="1"/>
    <x v="177"/>
    <x v="1"/>
    <x v="1"/>
    <x v="2"/>
    <x v="1"/>
    <s v="-"/>
    <s v="No"/>
    <n v="0"/>
    <n v="1"/>
    <n v="4"/>
  </r>
  <r>
    <n v="3410"/>
    <x v="176"/>
    <x v="0"/>
    <x v="178"/>
    <x v="0"/>
    <x v="0"/>
    <x v="0"/>
    <x v="0"/>
    <n v="30"/>
    <s v="Yes"/>
    <n v="20"/>
    <n v="15"/>
    <n v="50"/>
  </r>
  <r>
    <n v="3411"/>
    <x v="177"/>
    <x v="2"/>
    <x v="179"/>
    <x v="1"/>
    <x v="2"/>
    <x v="0"/>
    <x v="1"/>
    <s v="-"/>
    <s v="Yes"/>
    <n v="20"/>
    <n v="5"/>
    <n v="25"/>
  </r>
  <r>
    <n v="3412"/>
    <x v="178"/>
    <x v="1"/>
    <x v="180"/>
    <x v="0"/>
    <x v="1"/>
    <x v="1"/>
    <x v="1"/>
    <s v="-"/>
    <s v="No"/>
    <n v="0"/>
    <n v="0"/>
    <n v="5"/>
  </r>
  <r>
    <n v="3413"/>
    <x v="179"/>
    <x v="0"/>
    <x v="181"/>
    <x v="1"/>
    <x v="0"/>
    <x v="2"/>
    <x v="0"/>
    <n v="30"/>
    <s v="Yes"/>
    <n v="20"/>
    <n v="20"/>
    <n v="45"/>
  </r>
  <r>
    <n v="3414"/>
    <x v="180"/>
    <x v="2"/>
    <x v="182"/>
    <x v="0"/>
    <x v="2"/>
    <x v="2"/>
    <x v="1"/>
    <s v="-"/>
    <s v="Yes"/>
    <n v="20"/>
    <n v="12"/>
    <n v="18"/>
  </r>
  <r>
    <n v="3415"/>
    <x v="181"/>
    <x v="1"/>
    <x v="183"/>
    <x v="1"/>
    <x v="1"/>
    <x v="0"/>
    <x v="1"/>
    <s v="-"/>
    <s v="No"/>
    <n v="0"/>
    <n v="2"/>
    <n v="3"/>
  </r>
  <r>
    <n v="3416"/>
    <x v="182"/>
    <x v="0"/>
    <x v="184"/>
    <x v="0"/>
    <x v="0"/>
    <x v="1"/>
    <x v="0"/>
    <n v="30"/>
    <s v="Yes"/>
    <n v="20"/>
    <n v="5"/>
    <n v="60"/>
  </r>
  <r>
    <n v="3417"/>
    <x v="183"/>
    <x v="2"/>
    <x v="185"/>
    <x v="1"/>
    <x v="2"/>
    <x v="0"/>
    <x v="1"/>
    <s v="-"/>
    <s v="Yes"/>
    <n v="20"/>
    <n v="10"/>
    <n v="20"/>
  </r>
  <r>
    <n v="3418"/>
    <x v="184"/>
    <x v="1"/>
    <x v="186"/>
    <x v="0"/>
    <x v="1"/>
    <x v="2"/>
    <x v="1"/>
    <s v="-"/>
    <s v="No"/>
    <n v="0"/>
    <n v="0"/>
    <n v="5"/>
  </r>
  <r>
    <n v="3419"/>
    <x v="185"/>
    <x v="0"/>
    <x v="187"/>
    <x v="1"/>
    <x v="0"/>
    <x v="0"/>
    <x v="0"/>
    <n v="30"/>
    <s v="Yes"/>
    <n v="20"/>
    <n v="3"/>
    <n v="62"/>
  </r>
  <r>
    <n v="3420"/>
    <x v="186"/>
    <x v="2"/>
    <x v="188"/>
    <x v="0"/>
    <x v="2"/>
    <x v="1"/>
    <x v="1"/>
    <s v="-"/>
    <s v="Yes"/>
    <n v="20"/>
    <n v="15"/>
    <n v="15"/>
  </r>
  <r>
    <n v="3421"/>
    <x v="15"/>
    <x v="1"/>
    <x v="189"/>
    <x v="1"/>
    <x v="1"/>
    <x v="0"/>
    <x v="1"/>
    <s v="-"/>
    <s v="No"/>
    <n v="0"/>
    <n v="1"/>
    <n v="4"/>
  </r>
  <r>
    <n v="3422"/>
    <x v="187"/>
    <x v="0"/>
    <x v="190"/>
    <x v="0"/>
    <x v="0"/>
    <x v="2"/>
    <x v="0"/>
    <n v="30"/>
    <s v="Yes"/>
    <n v="20"/>
    <n v="7"/>
    <n v="58"/>
  </r>
  <r>
    <n v="3423"/>
    <x v="188"/>
    <x v="2"/>
    <x v="191"/>
    <x v="1"/>
    <x v="2"/>
    <x v="0"/>
    <x v="1"/>
    <s v="-"/>
    <s v="Yes"/>
    <n v="20"/>
    <n v="10"/>
    <n v="20"/>
  </r>
  <r>
    <n v="3424"/>
    <x v="14"/>
    <x v="1"/>
    <x v="192"/>
    <x v="0"/>
    <x v="1"/>
    <x v="1"/>
    <x v="1"/>
    <s v="-"/>
    <s v="No"/>
    <n v="0"/>
    <n v="0"/>
    <n v="5"/>
  </r>
  <r>
    <n v="3425"/>
    <x v="189"/>
    <x v="0"/>
    <x v="193"/>
    <x v="1"/>
    <x v="0"/>
    <x v="0"/>
    <x v="0"/>
    <n v="30"/>
    <s v="Yes"/>
    <n v="20"/>
    <n v="20"/>
    <n v="45"/>
  </r>
  <r>
    <n v="3426"/>
    <x v="167"/>
    <x v="2"/>
    <x v="194"/>
    <x v="0"/>
    <x v="2"/>
    <x v="2"/>
    <x v="1"/>
    <s v="-"/>
    <s v="Yes"/>
    <n v="20"/>
    <n v="15"/>
    <n v="15"/>
  </r>
  <r>
    <n v="3427"/>
    <x v="190"/>
    <x v="1"/>
    <x v="195"/>
    <x v="1"/>
    <x v="1"/>
    <x v="0"/>
    <x v="1"/>
    <s v="-"/>
    <s v="No"/>
    <n v="0"/>
    <n v="1"/>
    <n v="4"/>
  </r>
  <r>
    <n v="3428"/>
    <x v="191"/>
    <x v="0"/>
    <x v="196"/>
    <x v="0"/>
    <x v="0"/>
    <x v="1"/>
    <x v="0"/>
    <n v="30"/>
    <s v="Yes"/>
    <n v="20"/>
    <n v="3"/>
    <n v="62"/>
  </r>
  <r>
    <n v="3429"/>
    <x v="192"/>
    <x v="2"/>
    <x v="197"/>
    <x v="1"/>
    <x v="2"/>
    <x v="0"/>
    <x v="1"/>
    <s v="-"/>
    <s v="Yes"/>
    <n v="20"/>
    <n v="10"/>
    <n v="20"/>
  </r>
  <r>
    <n v="3430"/>
    <x v="193"/>
    <x v="1"/>
    <x v="198"/>
    <x v="0"/>
    <x v="1"/>
    <x v="2"/>
    <x v="1"/>
    <s v="-"/>
    <s v="No"/>
    <n v="0"/>
    <n v="0"/>
    <n v="5"/>
  </r>
  <r>
    <n v="3431"/>
    <x v="194"/>
    <x v="0"/>
    <x v="199"/>
    <x v="1"/>
    <x v="0"/>
    <x v="0"/>
    <x v="0"/>
    <n v="30"/>
    <s v="Yes"/>
    <n v="20"/>
    <n v="15"/>
    <n v="50"/>
  </r>
  <r>
    <n v="3432"/>
    <x v="195"/>
    <x v="2"/>
    <x v="200"/>
    <x v="0"/>
    <x v="2"/>
    <x v="1"/>
    <x v="1"/>
    <s v="-"/>
    <s v="Yes"/>
    <n v="20"/>
    <n v="15"/>
    <n v="15"/>
  </r>
  <r>
    <n v="3433"/>
    <x v="196"/>
    <x v="1"/>
    <x v="201"/>
    <x v="1"/>
    <x v="1"/>
    <x v="0"/>
    <x v="1"/>
    <s v="-"/>
    <s v="No"/>
    <n v="0"/>
    <n v="1"/>
    <n v="4"/>
  </r>
  <r>
    <n v="3434"/>
    <x v="197"/>
    <x v="0"/>
    <x v="202"/>
    <x v="0"/>
    <x v="0"/>
    <x v="2"/>
    <x v="0"/>
    <n v="30"/>
    <s v="Yes"/>
    <n v="20"/>
    <n v="7"/>
    <n v="58"/>
  </r>
  <r>
    <n v="3435"/>
    <x v="198"/>
    <x v="2"/>
    <x v="203"/>
    <x v="1"/>
    <x v="2"/>
    <x v="0"/>
    <x v="1"/>
    <s v="-"/>
    <s v="Yes"/>
    <n v="20"/>
    <n v="10"/>
    <n v="20"/>
  </r>
  <r>
    <n v="3436"/>
    <x v="199"/>
    <x v="1"/>
    <x v="204"/>
    <x v="0"/>
    <x v="1"/>
    <x v="0"/>
    <x v="1"/>
    <s v="-"/>
    <s v="No"/>
    <n v="0"/>
    <n v="0"/>
    <n v="5"/>
  </r>
  <r>
    <n v="3437"/>
    <x v="200"/>
    <x v="0"/>
    <x v="205"/>
    <x v="1"/>
    <x v="0"/>
    <x v="2"/>
    <x v="0"/>
    <n v="30"/>
    <s v="Yes"/>
    <n v="20"/>
    <n v="7"/>
    <n v="58"/>
  </r>
  <r>
    <n v="3438"/>
    <x v="201"/>
    <x v="2"/>
    <x v="206"/>
    <x v="0"/>
    <x v="2"/>
    <x v="1"/>
    <x v="1"/>
    <s v="-"/>
    <s v="Yes"/>
    <n v="20"/>
    <n v="10"/>
    <n v="20"/>
  </r>
  <r>
    <n v="3439"/>
    <x v="202"/>
    <x v="1"/>
    <x v="207"/>
    <x v="1"/>
    <x v="1"/>
    <x v="2"/>
    <x v="1"/>
    <s v="-"/>
    <s v="No"/>
    <n v="0"/>
    <n v="1"/>
    <n v="4"/>
  </r>
  <r>
    <n v="3440"/>
    <x v="203"/>
    <x v="0"/>
    <x v="208"/>
    <x v="0"/>
    <x v="0"/>
    <x v="0"/>
    <x v="0"/>
    <n v="30"/>
    <s v="Yes"/>
    <n v="20"/>
    <n v="15"/>
    <n v="50"/>
  </r>
  <r>
    <n v="3441"/>
    <x v="204"/>
    <x v="2"/>
    <x v="209"/>
    <x v="1"/>
    <x v="2"/>
    <x v="0"/>
    <x v="1"/>
    <s v="-"/>
    <s v="Yes"/>
    <n v="20"/>
    <n v="5"/>
    <n v="25"/>
  </r>
  <r>
    <n v="3442"/>
    <x v="205"/>
    <x v="1"/>
    <x v="210"/>
    <x v="0"/>
    <x v="1"/>
    <x v="1"/>
    <x v="1"/>
    <s v="-"/>
    <s v="No"/>
    <n v="0"/>
    <n v="0"/>
    <n v="5"/>
  </r>
  <r>
    <n v="3443"/>
    <x v="206"/>
    <x v="0"/>
    <x v="211"/>
    <x v="1"/>
    <x v="0"/>
    <x v="2"/>
    <x v="0"/>
    <n v="30"/>
    <s v="Yes"/>
    <n v="20"/>
    <n v="20"/>
    <n v="45"/>
  </r>
  <r>
    <n v="3444"/>
    <x v="207"/>
    <x v="2"/>
    <x v="212"/>
    <x v="0"/>
    <x v="2"/>
    <x v="2"/>
    <x v="1"/>
    <s v="-"/>
    <s v="Yes"/>
    <n v="20"/>
    <n v="12"/>
    <n v="18"/>
  </r>
  <r>
    <n v="3445"/>
    <x v="37"/>
    <x v="1"/>
    <x v="213"/>
    <x v="1"/>
    <x v="1"/>
    <x v="0"/>
    <x v="1"/>
    <s v="-"/>
    <s v="No"/>
    <n v="0"/>
    <n v="2"/>
    <n v="3"/>
  </r>
  <r>
    <n v="3446"/>
    <x v="208"/>
    <x v="0"/>
    <x v="214"/>
    <x v="0"/>
    <x v="0"/>
    <x v="1"/>
    <x v="0"/>
    <n v="30"/>
    <s v="Yes"/>
    <n v="20"/>
    <n v="5"/>
    <n v="60"/>
  </r>
  <r>
    <n v="3447"/>
    <x v="209"/>
    <x v="2"/>
    <x v="215"/>
    <x v="1"/>
    <x v="2"/>
    <x v="0"/>
    <x v="1"/>
    <s v="-"/>
    <s v="Yes"/>
    <n v="20"/>
    <n v="10"/>
    <n v="20"/>
  </r>
  <r>
    <n v="3448"/>
    <x v="210"/>
    <x v="1"/>
    <x v="216"/>
    <x v="0"/>
    <x v="1"/>
    <x v="2"/>
    <x v="1"/>
    <s v="-"/>
    <s v="No"/>
    <n v="0"/>
    <n v="0"/>
    <n v="5"/>
  </r>
  <r>
    <n v="3449"/>
    <x v="211"/>
    <x v="0"/>
    <x v="217"/>
    <x v="1"/>
    <x v="0"/>
    <x v="0"/>
    <x v="0"/>
    <n v="30"/>
    <s v="Yes"/>
    <n v="20"/>
    <n v="3"/>
    <n v="62"/>
  </r>
  <r>
    <n v="3450"/>
    <x v="212"/>
    <x v="2"/>
    <x v="218"/>
    <x v="0"/>
    <x v="2"/>
    <x v="1"/>
    <x v="1"/>
    <s v="-"/>
    <s v="Yes"/>
    <n v="20"/>
    <n v="15"/>
    <n v="15"/>
  </r>
  <r>
    <n v="3451"/>
    <x v="213"/>
    <x v="1"/>
    <x v="219"/>
    <x v="1"/>
    <x v="1"/>
    <x v="0"/>
    <x v="1"/>
    <s v="-"/>
    <s v="No"/>
    <n v="0"/>
    <n v="1"/>
    <n v="4"/>
  </r>
  <r>
    <n v="3452"/>
    <x v="191"/>
    <x v="0"/>
    <x v="220"/>
    <x v="0"/>
    <x v="0"/>
    <x v="2"/>
    <x v="0"/>
    <n v="30"/>
    <s v="Yes"/>
    <n v="20"/>
    <n v="7"/>
    <n v="58"/>
  </r>
  <r>
    <n v="3453"/>
    <x v="45"/>
    <x v="2"/>
    <x v="221"/>
    <x v="1"/>
    <x v="2"/>
    <x v="0"/>
    <x v="1"/>
    <s v="-"/>
    <s v="Yes"/>
    <n v="20"/>
    <n v="10"/>
    <n v="20"/>
  </r>
  <r>
    <n v="3454"/>
    <x v="214"/>
    <x v="1"/>
    <x v="222"/>
    <x v="0"/>
    <x v="1"/>
    <x v="1"/>
    <x v="1"/>
    <s v="-"/>
    <s v="No"/>
    <n v="0"/>
    <n v="0"/>
    <n v="5"/>
  </r>
  <r>
    <n v="3455"/>
    <x v="215"/>
    <x v="0"/>
    <x v="223"/>
    <x v="1"/>
    <x v="0"/>
    <x v="0"/>
    <x v="0"/>
    <n v="30"/>
    <s v="Yes"/>
    <n v="20"/>
    <n v="20"/>
    <n v="45"/>
  </r>
  <r>
    <n v="3456"/>
    <x v="216"/>
    <x v="2"/>
    <x v="224"/>
    <x v="0"/>
    <x v="2"/>
    <x v="2"/>
    <x v="1"/>
    <s v="-"/>
    <s v="Yes"/>
    <n v="20"/>
    <n v="15"/>
    <n v="15"/>
  </r>
  <r>
    <n v="3457"/>
    <x v="217"/>
    <x v="1"/>
    <x v="225"/>
    <x v="1"/>
    <x v="1"/>
    <x v="0"/>
    <x v="1"/>
    <s v="-"/>
    <s v="No"/>
    <n v="0"/>
    <n v="1"/>
    <n v="4"/>
  </r>
  <r>
    <n v="3458"/>
    <x v="218"/>
    <x v="0"/>
    <x v="226"/>
    <x v="0"/>
    <x v="0"/>
    <x v="1"/>
    <x v="0"/>
    <n v="30"/>
    <s v="Yes"/>
    <n v="20"/>
    <n v="3"/>
    <n v="62"/>
  </r>
  <r>
    <n v="3459"/>
    <x v="219"/>
    <x v="2"/>
    <x v="227"/>
    <x v="1"/>
    <x v="2"/>
    <x v="0"/>
    <x v="1"/>
    <s v="-"/>
    <s v="Yes"/>
    <n v="20"/>
    <n v="10"/>
    <n v="20"/>
  </r>
  <r>
    <n v="3460"/>
    <x v="127"/>
    <x v="1"/>
    <x v="228"/>
    <x v="0"/>
    <x v="1"/>
    <x v="2"/>
    <x v="1"/>
    <s v="-"/>
    <s v="No"/>
    <n v="0"/>
    <n v="0"/>
    <n v="5"/>
  </r>
  <r>
    <n v="3461"/>
    <x v="220"/>
    <x v="0"/>
    <x v="229"/>
    <x v="1"/>
    <x v="0"/>
    <x v="0"/>
    <x v="0"/>
    <n v="30"/>
    <s v="Yes"/>
    <n v="20"/>
    <n v="15"/>
    <n v="50"/>
  </r>
  <r>
    <n v="3462"/>
    <x v="221"/>
    <x v="2"/>
    <x v="230"/>
    <x v="0"/>
    <x v="2"/>
    <x v="1"/>
    <x v="1"/>
    <s v="-"/>
    <s v="Yes"/>
    <n v="20"/>
    <n v="15"/>
    <n v="15"/>
  </r>
  <r>
    <n v="3463"/>
    <x v="222"/>
    <x v="1"/>
    <x v="231"/>
    <x v="1"/>
    <x v="1"/>
    <x v="0"/>
    <x v="1"/>
    <s v="-"/>
    <s v="No"/>
    <n v="0"/>
    <n v="1"/>
    <n v="4"/>
  </r>
  <r>
    <n v="3464"/>
    <x v="223"/>
    <x v="0"/>
    <x v="232"/>
    <x v="0"/>
    <x v="0"/>
    <x v="2"/>
    <x v="0"/>
    <n v="30"/>
    <s v="Yes"/>
    <n v="20"/>
    <n v="7"/>
    <n v="58"/>
  </r>
  <r>
    <n v="3465"/>
    <x v="224"/>
    <x v="2"/>
    <x v="233"/>
    <x v="1"/>
    <x v="2"/>
    <x v="0"/>
    <x v="1"/>
    <s v="-"/>
    <s v="Yes"/>
    <n v="20"/>
    <n v="10"/>
    <n v="20"/>
  </r>
  <r>
    <n v="3466"/>
    <x v="225"/>
    <x v="1"/>
    <x v="234"/>
    <x v="0"/>
    <x v="1"/>
    <x v="1"/>
    <x v="1"/>
    <s v="-"/>
    <s v="No"/>
    <n v="0"/>
    <n v="0"/>
    <n v="5"/>
  </r>
  <r>
    <n v="3467"/>
    <x v="226"/>
    <x v="0"/>
    <x v="235"/>
    <x v="1"/>
    <x v="0"/>
    <x v="0"/>
    <x v="0"/>
    <n v="30"/>
    <s v="Yes"/>
    <n v="20"/>
    <n v="15"/>
    <n v="50"/>
  </r>
  <r>
    <n v="3468"/>
    <x v="227"/>
    <x v="2"/>
    <x v="236"/>
    <x v="0"/>
    <x v="2"/>
    <x v="2"/>
    <x v="1"/>
    <s v="-"/>
    <s v="Yes"/>
    <n v="20"/>
    <n v="12"/>
    <n v="18"/>
  </r>
  <r>
    <n v="3469"/>
    <x v="228"/>
    <x v="1"/>
    <x v="237"/>
    <x v="1"/>
    <x v="1"/>
    <x v="0"/>
    <x v="1"/>
    <s v="-"/>
    <s v="No"/>
    <n v="0"/>
    <n v="2"/>
    <n v="3"/>
  </r>
  <r>
    <n v="3470"/>
    <x v="229"/>
    <x v="0"/>
    <x v="238"/>
    <x v="0"/>
    <x v="0"/>
    <x v="1"/>
    <x v="0"/>
    <n v="30"/>
    <s v="Yes"/>
    <n v="20"/>
    <n v="5"/>
    <n v="60"/>
  </r>
  <r>
    <n v="3471"/>
    <x v="230"/>
    <x v="2"/>
    <x v="239"/>
    <x v="1"/>
    <x v="2"/>
    <x v="0"/>
    <x v="1"/>
    <s v="-"/>
    <s v="Yes"/>
    <n v="20"/>
    <n v="10"/>
    <n v="20"/>
  </r>
  <r>
    <n v="3472"/>
    <x v="231"/>
    <x v="1"/>
    <x v="240"/>
    <x v="0"/>
    <x v="1"/>
    <x v="2"/>
    <x v="1"/>
    <s v="-"/>
    <s v="No"/>
    <n v="0"/>
    <n v="0"/>
    <n v="5"/>
  </r>
  <r>
    <n v="3473"/>
    <x v="140"/>
    <x v="0"/>
    <x v="241"/>
    <x v="1"/>
    <x v="0"/>
    <x v="0"/>
    <x v="0"/>
    <n v="30"/>
    <s v="Yes"/>
    <n v="20"/>
    <n v="3"/>
    <n v="62"/>
  </r>
  <r>
    <n v="3474"/>
    <x v="232"/>
    <x v="2"/>
    <x v="242"/>
    <x v="0"/>
    <x v="2"/>
    <x v="1"/>
    <x v="1"/>
    <s v="-"/>
    <s v="Yes"/>
    <n v="20"/>
    <n v="15"/>
    <n v="15"/>
  </r>
  <r>
    <n v="3475"/>
    <x v="233"/>
    <x v="1"/>
    <x v="243"/>
    <x v="1"/>
    <x v="1"/>
    <x v="0"/>
    <x v="1"/>
    <s v="-"/>
    <s v="No"/>
    <n v="0"/>
    <n v="1"/>
    <n v="4"/>
  </r>
  <r>
    <n v="3476"/>
    <x v="234"/>
    <x v="0"/>
    <x v="244"/>
    <x v="0"/>
    <x v="0"/>
    <x v="2"/>
    <x v="0"/>
    <n v="30"/>
    <s v="Yes"/>
    <n v="20"/>
    <n v="7"/>
    <n v="58"/>
  </r>
  <r>
    <n v="3477"/>
    <x v="235"/>
    <x v="2"/>
    <x v="245"/>
    <x v="1"/>
    <x v="2"/>
    <x v="0"/>
    <x v="1"/>
    <s v="-"/>
    <s v="Yes"/>
    <n v="20"/>
    <n v="10"/>
    <n v="20"/>
  </r>
  <r>
    <n v="3478"/>
    <x v="236"/>
    <x v="1"/>
    <x v="246"/>
    <x v="0"/>
    <x v="1"/>
    <x v="1"/>
    <x v="1"/>
    <s v="-"/>
    <s v="No"/>
    <n v="0"/>
    <n v="0"/>
    <n v="5"/>
  </r>
  <r>
    <n v="3479"/>
    <x v="237"/>
    <x v="0"/>
    <x v="247"/>
    <x v="1"/>
    <x v="0"/>
    <x v="0"/>
    <x v="0"/>
    <n v="30"/>
    <s v="Yes"/>
    <n v="20"/>
    <n v="20"/>
    <n v="45"/>
  </r>
  <r>
    <n v="3480"/>
    <x v="238"/>
    <x v="2"/>
    <x v="248"/>
    <x v="0"/>
    <x v="2"/>
    <x v="2"/>
    <x v="1"/>
    <s v="-"/>
    <s v="Yes"/>
    <n v="20"/>
    <n v="15"/>
    <n v="15"/>
  </r>
  <r>
    <n v="3481"/>
    <x v="239"/>
    <x v="1"/>
    <x v="249"/>
    <x v="1"/>
    <x v="1"/>
    <x v="0"/>
    <x v="1"/>
    <s v="-"/>
    <s v="No"/>
    <n v="0"/>
    <n v="1"/>
    <n v="4"/>
  </r>
  <r>
    <n v="3482"/>
    <x v="240"/>
    <x v="0"/>
    <x v="250"/>
    <x v="0"/>
    <x v="0"/>
    <x v="1"/>
    <x v="0"/>
    <n v="30"/>
    <s v="Yes"/>
    <n v="20"/>
    <n v="3"/>
    <n v="62"/>
  </r>
  <r>
    <n v="3483"/>
    <x v="241"/>
    <x v="2"/>
    <x v="251"/>
    <x v="1"/>
    <x v="2"/>
    <x v="0"/>
    <x v="1"/>
    <s v="-"/>
    <s v="Yes"/>
    <n v="20"/>
    <n v="10"/>
    <n v="20"/>
  </r>
  <r>
    <n v="3484"/>
    <x v="242"/>
    <x v="1"/>
    <x v="252"/>
    <x v="0"/>
    <x v="1"/>
    <x v="2"/>
    <x v="1"/>
    <s v="-"/>
    <s v="No"/>
    <n v="0"/>
    <n v="0"/>
    <n v="5"/>
  </r>
  <r>
    <n v="3485"/>
    <x v="243"/>
    <x v="0"/>
    <x v="253"/>
    <x v="1"/>
    <x v="0"/>
    <x v="0"/>
    <x v="0"/>
    <n v="30"/>
    <s v="Yes"/>
    <n v="20"/>
    <n v="15"/>
    <n v="50"/>
  </r>
  <r>
    <n v="3486"/>
    <x v="244"/>
    <x v="1"/>
    <x v="254"/>
    <x v="0"/>
    <x v="1"/>
    <x v="0"/>
    <x v="1"/>
    <s v="-"/>
    <s v="No"/>
    <n v="0"/>
    <n v="0"/>
    <n v="5"/>
  </r>
  <r>
    <n v="3487"/>
    <x v="245"/>
    <x v="0"/>
    <x v="255"/>
    <x v="1"/>
    <x v="0"/>
    <x v="2"/>
    <x v="0"/>
    <n v="30"/>
    <s v="Yes"/>
    <n v="20"/>
    <n v="7"/>
    <n v="58"/>
  </r>
  <r>
    <n v="3488"/>
    <x v="246"/>
    <x v="2"/>
    <x v="256"/>
    <x v="0"/>
    <x v="2"/>
    <x v="1"/>
    <x v="1"/>
    <s v="-"/>
    <s v="Yes"/>
    <n v="20"/>
    <n v="10"/>
    <n v="20"/>
  </r>
  <r>
    <n v="3489"/>
    <x v="247"/>
    <x v="1"/>
    <x v="257"/>
    <x v="1"/>
    <x v="1"/>
    <x v="2"/>
    <x v="1"/>
    <s v="-"/>
    <s v="No"/>
    <n v="0"/>
    <n v="1"/>
    <n v="4"/>
  </r>
  <r>
    <n v="3490"/>
    <x v="248"/>
    <x v="0"/>
    <x v="258"/>
    <x v="0"/>
    <x v="0"/>
    <x v="0"/>
    <x v="0"/>
    <n v="30"/>
    <s v="Yes"/>
    <n v="20"/>
    <n v="15"/>
    <n v="50"/>
  </r>
  <r>
    <n v="3491"/>
    <x v="249"/>
    <x v="2"/>
    <x v="259"/>
    <x v="1"/>
    <x v="2"/>
    <x v="0"/>
    <x v="1"/>
    <s v="-"/>
    <s v="Yes"/>
    <n v="20"/>
    <n v="5"/>
    <n v="25"/>
  </r>
  <r>
    <n v="3492"/>
    <x v="250"/>
    <x v="1"/>
    <x v="260"/>
    <x v="0"/>
    <x v="1"/>
    <x v="1"/>
    <x v="1"/>
    <s v="-"/>
    <s v="No"/>
    <n v="0"/>
    <n v="0"/>
    <n v="5"/>
  </r>
  <r>
    <n v="3493"/>
    <x v="251"/>
    <x v="0"/>
    <x v="261"/>
    <x v="1"/>
    <x v="0"/>
    <x v="2"/>
    <x v="0"/>
    <n v="30"/>
    <s v="Yes"/>
    <n v="20"/>
    <n v="20"/>
    <n v="45"/>
  </r>
  <r>
    <n v="3494"/>
    <x v="252"/>
    <x v="2"/>
    <x v="262"/>
    <x v="0"/>
    <x v="2"/>
    <x v="2"/>
    <x v="1"/>
    <s v="-"/>
    <s v="Yes"/>
    <n v="20"/>
    <n v="12"/>
    <n v="18"/>
  </r>
  <r>
    <n v="3495"/>
    <x v="253"/>
    <x v="1"/>
    <x v="263"/>
    <x v="1"/>
    <x v="1"/>
    <x v="0"/>
    <x v="1"/>
    <s v="-"/>
    <s v="No"/>
    <n v="0"/>
    <n v="2"/>
    <n v="3"/>
  </r>
  <r>
    <n v="3496"/>
    <x v="254"/>
    <x v="0"/>
    <x v="264"/>
    <x v="0"/>
    <x v="0"/>
    <x v="1"/>
    <x v="0"/>
    <n v="30"/>
    <s v="Yes"/>
    <n v="20"/>
    <n v="5"/>
    <n v="60"/>
  </r>
  <r>
    <n v="3497"/>
    <x v="255"/>
    <x v="2"/>
    <x v="265"/>
    <x v="1"/>
    <x v="2"/>
    <x v="0"/>
    <x v="1"/>
    <s v="-"/>
    <s v="Yes"/>
    <n v="20"/>
    <n v="10"/>
    <n v="20"/>
  </r>
  <r>
    <n v="3498"/>
    <x v="256"/>
    <x v="1"/>
    <x v="266"/>
    <x v="0"/>
    <x v="1"/>
    <x v="2"/>
    <x v="1"/>
    <s v="-"/>
    <s v="No"/>
    <n v="0"/>
    <n v="0"/>
    <n v="5"/>
  </r>
  <r>
    <n v="3499"/>
    <x v="257"/>
    <x v="0"/>
    <x v="267"/>
    <x v="1"/>
    <x v="0"/>
    <x v="0"/>
    <x v="0"/>
    <n v="30"/>
    <s v="Yes"/>
    <n v="20"/>
    <n v="3"/>
    <n v="62"/>
  </r>
  <r>
    <n v="3500"/>
    <x v="258"/>
    <x v="2"/>
    <x v="268"/>
    <x v="0"/>
    <x v="2"/>
    <x v="1"/>
    <x v="1"/>
    <s v="-"/>
    <s v="Yes"/>
    <n v="20"/>
    <n v="15"/>
    <n v="15"/>
  </r>
  <r>
    <n v="3501"/>
    <x v="259"/>
    <x v="1"/>
    <x v="269"/>
    <x v="1"/>
    <x v="1"/>
    <x v="0"/>
    <x v="1"/>
    <s v="-"/>
    <s v="No"/>
    <n v="0"/>
    <n v="1"/>
    <n v="4"/>
  </r>
  <r>
    <n v="3502"/>
    <x v="260"/>
    <x v="0"/>
    <x v="270"/>
    <x v="0"/>
    <x v="0"/>
    <x v="2"/>
    <x v="0"/>
    <n v="30"/>
    <s v="Yes"/>
    <n v="20"/>
    <n v="7"/>
    <n v="58"/>
  </r>
  <r>
    <n v="3503"/>
    <x v="119"/>
    <x v="2"/>
    <x v="271"/>
    <x v="1"/>
    <x v="2"/>
    <x v="0"/>
    <x v="1"/>
    <s v="-"/>
    <s v="Yes"/>
    <n v="20"/>
    <n v="10"/>
    <n v="20"/>
  </r>
  <r>
    <n v="3504"/>
    <x v="261"/>
    <x v="1"/>
    <x v="272"/>
    <x v="0"/>
    <x v="1"/>
    <x v="1"/>
    <x v="1"/>
    <s v="-"/>
    <s v="No"/>
    <n v="0"/>
    <n v="0"/>
    <n v="5"/>
  </r>
  <r>
    <n v="3505"/>
    <x v="262"/>
    <x v="0"/>
    <x v="273"/>
    <x v="1"/>
    <x v="0"/>
    <x v="0"/>
    <x v="0"/>
    <n v="30"/>
    <s v="Yes"/>
    <n v="20"/>
    <n v="20"/>
    <n v="45"/>
  </r>
  <r>
    <n v="3506"/>
    <x v="263"/>
    <x v="2"/>
    <x v="274"/>
    <x v="0"/>
    <x v="2"/>
    <x v="2"/>
    <x v="1"/>
    <s v="-"/>
    <s v="Yes"/>
    <n v="20"/>
    <n v="15"/>
    <n v="15"/>
  </r>
  <r>
    <n v="3507"/>
    <x v="264"/>
    <x v="1"/>
    <x v="275"/>
    <x v="1"/>
    <x v="1"/>
    <x v="0"/>
    <x v="1"/>
    <s v="-"/>
    <s v="No"/>
    <n v="0"/>
    <n v="1"/>
    <n v="4"/>
  </r>
  <r>
    <n v="3508"/>
    <x v="265"/>
    <x v="0"/>
    <x v="276"/>
    <x v="0"/>
    <x v="0"/>
    <x v="1"/>
    <x v="0"/>
    <n v="30"/>
    <s v="Yes"/>
    <n v="20"/>
    <n v="3"/>
    <n v="62"/>
  </r>
  <r>
    <n v="3509"/>
    <x v="266"/>
    <x v="2"/>
    <x v="277"/>
    <x v="1"/>
    <x v="2"/>
    <x v="0"/>
    <x v="1"/>
    <s v="-"/>
    <s v="Yes"/>
    <n v="20"/>
    <n v="10"/>
    <n v="20"/>
  </r>
  <r>
    <n v="3510"/>
    <x v="267"/>
    <x v="1"/>
    <x v="278"/>
    <x v="0"/>
    <x v="1"/>
    <x v="2"/>
    <x v="1"/>
    <s v="-"/>
    <s v="No"/>
    <n v="0"/>
    <n v="0"/>
    <n v="5"/>
  </r>
  <r>
    <n v="3511"/>
    <x v="268"/>
    <x v="0"/>
    <x v="279"/>
    <x v="1"/>
    <x v="0"/>
    <x v="0"/>
    <x v="0"/>
    <n v="30"/>
    <s v="Yes"/>
    <n v="20"/>
    <n v="15"/>
    <n v="50"/>
  </r>
  <r>
    <n v="3512"/>
    <x v="269"/>
    <x v="2"/>
    <x v="280"/>
    <x v="0"/>
    <x v="2"/>
    <x v="1"/>
    <x v="1"/>
    <s v="-"/>
    <s v="Yes"/>
    <n v="20"/>
    <n v="15"/>
    <n v="15"/>
  </r>
  <r>
    <n v="3513"/>
    <x v="270"/>
    <x v="1"/>
    <x v="281"/>
    <x v="1"/>
    <x v="1"/>
    <x v="0"/>
    <x v="1"/>
    <s v="-"/>
    <s v="No"/>
    <n v="0"/>
    <n v="1"/>
    <n v="4"/>
  </r>
  <r>
    <n v="3514"/>
    <x v="271"/>
    <x v="0"/>
    <x v="282"/>
    <x v="0"/>
    <x v="0"/>
    <x v="2"/>
    <x v="0"/>
    <n v="30"/>
    <s v="Yes"/>
    <n v="20"/>
    <n v="7"/>
    <n v="58"/>
  </r>
  <r>
    <n v="3515"/>
    <x v="130"/>
    <x v="2"/>
    <x v="283"/>
    <x v="1"/>
    <x v="2"/>
    <x v="0"/>
    <x v="1"/>
    <s v="-"/>
    <s v="Yes"/>
    <n v="20"/>
    <n v="10"/>
    <n v="20"/>
  </r>
  <r>
    <n v="3516"/>
    <x v="131"/>
    <x v="1"/>
    <x v="284"/>
    <x v="0"/>
    <x v="1"/>
    <x v="1"/>
    <x v="1"/>
    <s v="-"/>
    <s v="No"/>
    <n v="0"/>
    <n v="0"/>
    <n v="5"/>
  </r>
  <r>
    <n v="3517"/>
    <x v="181"/>
    <x v="0"/>
    <x v="285"/>
    <x v="1"/>
    <x v="0"/>
    <x v="0"/>
    <x v="0"/>
    <n v="30"/>
    <s v="Yes"/>
    <n v="20"/>
    <n v="20"/>
    <n v="45"/>
  </r>
  <r>
    <n v="3518"/>
    <x v="272"/>
    <x v="2"/>
    <x v="286"/>
    <x v="0"/>
    <x v="2"/>
    <x v="2"/>
    <x v="1"/>
    <s v="-"/>
    <s v="Yes"/>
    <n v="20"/>
    <n v="12"/>
    <n v="18"/>
  </r>
  <r>
    <n v="3519"/>
    <x v="273"/>
    <x v="1"/>
    <x v="287"/>
    <x v="1"/>
    <x v="1"/>
    <x v="0"/>
    <x v="1"/>
    <s v="-"/>
    <s v="No"/>
    <n v="0"/>
    <n v="2"/>
    <n v="3"/>
  </r>
  <r>
    <n v="3520"/>
    <x v="274"/>
    <x v="0"/>
    <x v="288"/>
    <x v="0"/>
    <x v="0"/>
    <x v="1"/>
    <x v="0"/>
    <n v="30"/>
    <s v="Yes"/>
    <n v="20"/>
    <n v="5"/>
    <n v="60"/>
  </r>
  <r>
    <n v="3521"/>
    <x v="275"/>
    <x v="2"/>
    <x v="289"/>
    <x v="1"/>
    <x v="2"/>
    <x v="0"/>
    <x v="1"/>
    <s v="-"/>
    <s v="Yes"/>
    <n v="20"/>
    <n v="10"/>
    <n v="20"/>
  </r>
  <r>
    <n v="3522"/>
    <x v="276"/>
    <x v="1"/>
    <x v="290"/>
    <x v="0"/>
    <x v="1"/>
    <x v="2"/>
    <x v="1"/>
    <s v="-"/>
    <s v="No"/>
    <n v="0"/>
    <n v="0"/>
    <n v="5"/>
  </r>
  <r>
    <n v="3523"/>
    <x v="277"/>
    <x v="0"/>
    <x v="291"/>
    <x v="1"/>
    <x v="0"/>
    <x v="0"/>
    <x v="0"/>
    <n v="30"/>
    <s v="Yes"/>
    <n v="20"/>
    <n v="3"/>
    <n v="62"/>
  </r>
  <r>
    <n v="3524"/>
    <x v="278"/>
    <x v="2"/>
    <x v="292"/>
    <x v="0"/>
    <x v="2"/>
    <x v="1"/>
    <x v="1"/>
    <s v="-"/>
    <s v="Yes"/>
    <n v="20"/>
    <n v="15"/>
    <n v="15"/>
  </r>
  <r>
    <n v="3525"/>
    <x v="279"/>
    <x v="1"/>
    <x v="293"/>
    <x v="1"/>
    <x v="1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852B8-359A-43CB-92CB-039682A6F740}" name="tbl_minecraft_m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44:C56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axis="axisRow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4"/>
    <field x="13"/>
    <field x="3"/>
  </rowFields>
  <row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formats count="1">
    <format dxfId="22">
      <pivotArea outline="0" collapsedLevelsAreSubtotals="1" fieldPosition="0"/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B54DE-5226-4A25-8472-9EEF30929335}" name="tbl_eaplay_m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F20:G32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Row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14"/>
    <field x="13"/>
    <field x="2"/>
    <field x="3"/>
  </rowFields>
  <row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 numFmtId="44"/>
  </dataFields>
  <formats count="1">
    <format dxfId="23">
      <pivotArea outline="0" collapsedLevelsAreSubtotals="1" fieldPosition="0"/>
    </format>
  </format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3B908-ABC0-458B-923C-0EDB4E481CF3}" name="tbl_minecraft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5:C39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5E49C-A3CC-4720-B538-FA35921F2CA5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3:C27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FDF7D-AC04-43B5-B528-A2AB55D44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12:C15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902380C-252E-4E57-94EE-BC81C16F20CE}" sourceName="Subscription Type">
  <pivotTables>
    <pivotTable tabId="3" name="tbl_annual_total"/>
    <pivotTable tabId="3" name="tbl_easeasonpass_total"/>
    <pivotTable tabId="3" name="tbl_minecraftseasonpass_total"/>
    <pivotTable tabId="3" name="tbl_eaplay_mes"/>
    <pivotTable tabId="3" name="tbl_minecraft_mes"/>
  </pivotTables>
  <data>
    <tabular pivotCacheId="74721215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38352E3-7311-410E-8C28-12384AA6C784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3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36"/>
    <tableColumn id="2" xr3:uid="{53DD39D0-2220-4121-9E9D-4EAA7E151C0F}" name="Name" dataDxfId="35"/>
    <tableColumn id="3" xr3:uid="{4F5FF271-4C57-4BE0-8F2C-F82C8551625C}" name="Plan" dataDxfId="34"/>
    <tableColumn id="4" xr3:uid="{8C17EB93-79B9-4E55-B8F7-BEB82F8253E9}" name="Start Date" dataDxfId="33"/>
    <tableColumn id="5" xr3:uid="{48CEDF9B-1689-482A-A828-5CCE7713264A}" name="Auto Renewal" dataDxfId="32"/>
    <tableColumn id="6" xr3:uid="{78B82374-9AA7-4E38-AE4F-78CDE6C83720}" name="Subscription Price" dataDxfId="31" dataCellStyle="Moeda"/>
    <tableColumn id="7" xr3:uid="{F2433F68-AF33-49D0-B1FB-19A396074EDE}" name="Subscription Type" dataDxfId="30"/>
    <tableColumn id="8" xr3:uid="{FD4D9C95-F6E5-4933-9068-A71FF7DF9343}" name="EA Play Season Pass" dataDxfId="29"/>
    <tableColumn id="13" xr3:uid="{978DD0D2-834E-4CE4-A39B-30976086932F}" name="EA Play Season Pass_x000a_Price" dataDxfId="28" dataCellStyle="Moeda"/>
    <tableColumn id="9" xr3:uid="{6E29F111-C395-4580-9DAD-3407D9E8B1A4}" name="Minecraft Season Pass" dataDxfId="27"/>
    <tableColumn id="10" xr3:uid="{EF544EAA-7F25-4FD5-A10E-8E62804DB9E3}" name="Minecraft Season Pass Price" dataDxfId="26" dataCellStyle="Moeda"/>
    <tableColumn id="11" xr3:uid="{7F6EB64A-1F07-4E48-9F0F-AC7D9DCD26F8}" name="Coupon Value" dataDxfId="25" dataCellStyle="Moeda"/>
    <tableColumn id="12" xr3:uid="{2B04ABC8-DE6F-426E-ADC0-D8AFC68CA58E}" name="Total Value" dataDxfId="2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F18" sqref="F1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F18" sqref="F1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G56"/>
  <sheetViews>
    <sheetView showGridLines="0" topLeftCell="A10" zoomScale="130" zoomScaleNormal="130" workbookViewId="0">
      <selection activeCell="F18" sqref="F18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7.7109375" bestFit="1" customWidth="1"/>
    <col min="5" max="5" width="14.5703125" bestFit="1" customWidth="1"/>
    <col min="6" max="6" width="18.42578125" bestFit="1" customWidth="1"/>
    <col min="7" max="8" width="27.7109375" bestFit="1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8" t="s">
        <v>316</v>
      </c>
      <c r="C3" s="18"/>
      <c r="D3" s="18"/>
      <c r="E3" s="18"/>
      <c r="F3" s="18"/>
    </row>
    <row r="6" spans="2:6" x14ac:dyDescent="0.25">
      <c r="B6" t="s">
        <v>317</v>
      </c>
    </row>
    <row r="7" spans="2:6" x14ac:dyDescent="0.25">
      <c r="B7" t="s">
        <v>318</v>
      </c>
    </row>
    <row r="10" spans="2:6" x14ac:dyDescent="0.25">
      <c r="B10" s="12" t="s">
        <v>16</v>
      </c>
      <c r="C10" t="s">
        <v>27</v>
      </c>
    </row>
    <row r="12" spans="2:6" x14ac:dyDescent="0.25">
      <c r="B12" s="12" t="s">
        <v>313</v>
      </c>
      <c r="C12" t="s">
        <v>315</v>
      </c>
    </row>
    <row r="13" spans="2:6" x14ac:dyDescent="0.25">
      <c r="B13" s="13" t="s">
        <v>23</v>
      </c>
      <c r="C13" s="14">
        <v>806</v>
      </c>
    </row>
    <row r="14" spans="2:6" x14ac:dyDescent="0.25">
      <c r="B14" s="13" t="s">
        <v>19</v>
      </c>
      <c r="C14" s="14">
        <v>1502</v>
      </c>
    </row>
    <row r="15" spans="2:6" x14ac:dyDescent="0.25">
      <c r="B15" s="13" t="s">
        <v>314</v>
      </c>
      <c r="C15" s="14">
        <v>2308</v>
      </c>
    </row>
    <row r="18" spans="2:7" x14ac:dyDescent="0.25">
      <c r="F18" s="12" t="s">
        <v>16</v>
      </c>
      <c r="G18" t="s">
        <v>27</v>
      </c>
    </row>
    <row r="19" spans="2:7" x14ac:dyDescent="0.25">
      <c r="B19" s="13" t="s">
        <v>319</v>
      </c>
    </row>
    <row r="20" spans="2:7" x14ac:dyDescent="0.25">
      <c r="F20" s="12" t="s">
        <v>313</v>
      </c>
      <c r="G20" t="s">
        <v>321</v>
      </c>
    </row>
    <row r="21" spans="2:7" x14ac:dyDescent="0.25">
      <c r="B21" s="12" t="s">
        <v>16</v>
      </c>
      <c r="C21" t="s">
        <v>27</v>
      </c>
      <c r="F21" s="13" t="s">
        <v>334</v>
      </c>
      <c r="G21" s="14">
        <v>0</v>
      </c>
    </row>
    <row r="22" spans="2:7" x14ac:dyDescent="0.25">
      <c r="F22" s="13" t="s">
        <v>324</v>
      </c>
      <c r="G22" s="14">
        <v>90</v>
      </c>
    </row>
    <row r="23" spans="2:7" x14ac:dyDescent="0.25">
      <c r="B23" s="12" t="s">
        <v>313</v>
      </c>
      <c r="C23" t="s">
        <v>321</v>
      </c>
      <c r="F23" s="13" t="s">
        <v>325</v>
      </c>
      <c r="G23" s="14">
        <v>120</v>
      </c>
    </row>
    <row r="24" spans="2:7" x14ac:dyDescent="0.25">
      <c r="B24" s="13" t="s">
        <v>22</v>
      </c>
      <c r="C24" s="19">
        <v>0</v>
      </c>
      <c r="F24" s="13" t="s">
        <v>326</v>
      </c>
      <c r="G24" s="14">
        <v>120</v>
      </c>
    </row>
    <row r="25" spans="2:7" x14ac:dyDescent="0.25">
      <c r="B25" s="13" t="s">
        <v>26</v>
      </c>
      <c r="C25" s="19">
        <v>0</v>
      </c>
      <c r="F25" s="13" t="s">
        <v>327</v>
      </c>
      <c r="G25" s="14">
        <v>120</v>
      </c>
    </row>
    <row r="26" spans="2:7" x14ac:dyDescent="0.25">
      <c r="B26" s="13" t="s">
        <v>18</v>
      </c>
      <c r="C26" s="19">
        <v>990</v>
      </c>
      <c r="F26" s="13" t="s">
        <v>328</v>
      </c>
      <c r="G26" s="14">
        <v>120</v>
      </c>
    </row>
    <row r="27" spans="2:7" x14ac:dyDescent="0.25">
      <c r="B27" s="13" t="s">
        <v>314</v>
      </c>
      <c r="C27" s="19">
        <v>990</v>
      </c>
      <c r="E27" s="15">
        <f>GETPIVOTDATA("EA Play Season Pass
Price",$B$23)</f>
        <v>990</v>
      </c>
      <c r="F27" s="13" t="s">
        <v>329</v>
      </c>
      <c r="G27" s="14">
        <v>90</v>
      </c>
    </row>
    <row r="28" spans="2:7" x14ac:dyDescent="0.25">
      <c r="B28" s="13"/>
      <c r="F28" s="13" t="s">
        <v>330</v>
      </c>
      <c r="G28" s="14">
        <v>120</v>
      </c>
    </row>
    <row r="29" spans="2:7" x14ac:dyDescent="0.25">
      <c r="F29" s="13" t="s">
        <v>331</v>
      </c>
      <c r="G29" s="14">
        <v>90</v>
      </c>
    </row>
    <row r="30" spans="2:7" x14ac:dyDescent="0.25">
      <c r="B30" s="13" t="s">
        <v>320</v>
      </c>
      <c r="F30" s="13" t="s">
        <v>332</v>
      </c>
      <c r="G30" s="14">
        <v>90</v>
      </c>
    </row>
    <row r="31" spans="2:7" x14ac:dyDescent="0.25">
      <c r="F31" s="13" t="s">
        <v>333</v>
      </c>
      <c r="G31" s="14">
        <v>30</v>
      </c>
    </row>
    <row r="32" spans="2:7" x14ac:dyDescent="0.25">
      <c r="F32" s="13" t="s">
        <v>314</v>
      </c>
      <c r="G32" s="14">
        <v>990</v>
      </c>
    </row>
    <row r="33" spans="2:5" x14ac:dyDescent="0.25">
      <c r="B33" s="12" t="s">
        <v>16</v>
      </c>
      <c r="C33" t="s">
        <v>27</v>
      </c>
    </row>
    <row r="35" spans="2:5" x14ac:dyDescent="0.25">
      <c r="B35" s="12" t="s">
        <v>313</v>
      </c>
      <c r="C35" t="s">
        <v>322</v>
      </c>
    </row>
    <row r="36" spans="2:5" x14ac:dyDescent="0.25">
      <c r="B36" s="13" t="s">
        <v>22</v>
      </c>
      <c r="C36" s="14">
        <v>0</v>
      </c>
    </row>
    <row r="37" spans="2:5" x14ac:dyDescent="0.25">
      <c r="B37" s="13" t="s">
        <v>26</v>
      </c>
      <c r="C37" s="14">
        <v>480</v>
      </c>
    </row>
    <row r="38" spans="2:5" x14ac:dyDescent="0.25">
      <c r="B38" s="13" t="s">
        <v>18</v>
      </c>
      <c r="C38" s="14">
        <v>660</v>
      </c>
      <c r="E38" s="15"/>
    </row>
    <row r="39" spans="2:5" x14ac:dyDescent="0.25">
      <c r="B39" s="13" t="s">
        <v>314</v>
      </c>
      <c r="C39" s="14">
        <v>1140</v>
      </c>
      <c r="E39" s="15">
        <f>GETPIVOTDATA("Minecraft Season Pass Price",$B$35)</f>
        <v>1140</v>
      </c>
    </row>
    <row r="42" spans="2:5" x14ac:dyDescent="0.25">
      <c r="B42" s="12" t="s">
        <v>16</v>
      </c>
      <c r="C42" t="s">
        <v>27</v>
      </c>
    </row>
    <row r="44" spans="2:5" x14ac:dyDescent="0.25">
      <c r="B44" s="12" t="s">
        <v>313</v>
      </c>
      <c r="C44" t="s">
        <v>322</v>
      </c>
    </row>
    <row r="45" spans="2:5" x14ac:dyDescent="0.25">
      <c r="B45" s="13" t="s">
        <v>334</v>
      </c>
      <c r="C45" s="14">
        <v>20</v>
      </c>
    </row>
    <row r="46" spans="2:5" x14ac:dyDescent="0.25">
      <c r="B46" s="13" t="s">
        <v>324</v>
      </c>
      <c r="C46" s="14">
        <v>120</v>
      </c>
    </row>
    <row r="47" spans="2:5" x14ac:dyDescent="0.25">
      <c r="B47" s="13" t="s">
        <v>325</v>
      </c>
      <c r="C47" s="14">
        <v>120</v>
      </c>
    </row>
    <row r="48" spans="2:5" x14ac:dyDescent="0.25">
      <c r="B48" s="13" t="s">
        <v>326</v>
      </c>
      <c r="C48" s="14">
        <v>140</v>
      </c>
    </row>
    <row r="49" spans="2:3" x14ac:dyDescent="0.25">
      <c r="B49" s="13" t="s">
        <v>327</v>
      </c>
      <c r="C49" s="14">
        <v>140</v>
      </c>
    </row>
    <row r="50" spans="2:3" x14ac:dyDescent="0.25">
      <c r="B50" s="13" t="s">
        <v>328</v>
      </c>
      <c r="C50" s="14">
        <v>120</v>
      </c>
    </row>
    <row r="51" spans="2:3" x14ac:dyDescent="0.25">
      <c r="B51" s="13" t="s">
        <v>329</v>
      </c>
      <c r="C51" s="14">
        <v>100</v>
      </c>
    </row>
    <row r="52" spans="2:3" x14ac:dyDescent="0.25">
      <c r="B52" s="13" t="s">
        <v>330</v>
      </c>
      <c r="C52" s="14">
        <v>120</v>
      </c>
    </row>
    <row r="53" spans="2:3" x14ac:dyDescent="0.25">
      <c r="B53" s="13" t="s">
        <v>331</v>
      </c>
      <c r="C53" s="14">
        <v>100</v>
      </c>
    </row>
    <row r="54" spans="2:3" x14ac:dyDescent="0.25">
      <c r="B54" s="13" t="s">
        <v>332</v>
      </c>
      <c r="C54" s="14">
        <v>120</v>
      </c>
    </row>
    <row r="55" spans="2:3" x14ac:dyDescent="0.25">
      <c r="B55" s="13" t="s">
        <v>333</v>
      </c>
      <c r="C55" s="14">
        <v>40</v>
      </c>
    </row>
    <row r="56" spans="2:3" x14ac:dyDescent="0.25">
      <c r="B56" s="13" t="s">
        <v>314</v>
      </c>
      <c r="C56" s="14"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R147"/>
  <sheetViews>
    <sheetView showGridLines="0" showRowColHeaders="0" tabSelected="1" zoomScale="112" zoomScaleNormal="112" workbookViewId="0">
      <selection activeCell="V12" sqref="V12"/>
    </sheetView>
  </sheetViews>
  <sheetFormatPr defaultRowHeight="15" x14ac:dyDescent="0.25"/>
  <cols>
    <col min="1" max="1" width="27.85546875" style="4" customWidth="1"/>
    <col min="2" max="2" width="9" customWidth="1"/>
    <col min="12" max="12" width="6.5703125" customWidth="1"/>
  </cols>
  <sheetData>
    <row r="2" spans="1:18" ht="36.75" customHeight="1" thickBot="1" x14ac:dyDescent="0.5">
      <c r="C2" s="16" t="s">
        <v>323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25.5" customHeight="1" thickTop="1" x14ac:dyDescent="0.25"/>
    <row r="4" spans="1:18" ht="24" customHeight="1" x14ac:dyDescent="0.25">
      <c r="A4" s="20"/>
    </row>
    <row r="5" spans="1:18" s="7" customFormat="1" ht="18" customHeight="1" x14ac:dyDescent="0.25">
      <c r="A5" s="4"/>
    </row>
    <row r="6" spans="1:18" s="7" customFormat="1" ht="7.5" customHeight="1" x14ac:dyDescent="0.25">
      <c r="A6" s="4"/>
    </row>
    <row r="7" spans="1:18" s="7" customFormat="1" ht="10.5" customHeight="1" x14ac:dyDescent="0.25">
      <c r="A7" s="4"/>
    </row>
    <row r="8" spans="1:18" s="7" customFormat="1" ht="9.75" customHeight="1" x14ac:dyDescent="0.25">
      <c r="A8" s="4"/>
    </row>
    <row r="9" spans="1:18" s="7" customFormat="1" x14ac:dyDescent="0.25">
      <c r="A9" s="4"/>
    </row>
    <row r="10" spans="1:18" s="7" customFormat="1" x14ac:dyDescent="0.25">
      <c r="A10" s="4"/>
    </row>
    <row r="11" spans="1:18" s="7" customFormat="1" x14ac:dyDescent="0.25">
      <c r="A11" s="4"/>
    </row>
    <row r="12" spans="1:18" s="7" customFormat="1" x14ac:dyDescent="0.25">
      <c r="A12" s="4"/>
    </row>
    <row r="13" spans="1:18" s="7" customFormat="1" x14ac:dyDescent="0.25">
      <c r="A13" s="4"/>
    </row>
    <row r="14" spans="1:18" s="7" customFormat="1" x14ac:dyDescent="0.25">
      <c r="A14" s="4"/>
    </row>
    <row r="15" spans="1:18" s="7" customFormat="1" x14ac:dyDescent="0.25">
      <c r="A15" s="4"/>
    </row>
    <row r="16" spans="1:18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Hyung Sub Kim</cp:lastModifiedBy>
  <dcterms:created xsi:type="dcterms:W3CDTF">2024-12-19T13:13:10Z</dcterms:created>
  <dcterms:modified xsi:type="dcterms:W3CDTF">2026-01-14T17:46:58Z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